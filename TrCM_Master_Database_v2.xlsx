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dsat\Downloads\"/>
    </mc:Choice>
  </mc:AlternateContent>
  <xr:revisionPtr revIDLastSave="0" documentId="13_ncr:1_{E5D66ACD-0A44-44D0-8C95-F37536AD6D8D}" xr6:coauthVersionLast="47" xr6:coauthVersionMax="47" xr10:uidLastSave="{00000000-0000-0000-0000-000000000000}"/>
  <bookViews>
    <workbookView xWindow="7500" yWindow="-21720" windowWidth="38640" windowHeight="21120" xr2:uid="{00000000-000D-0000-FFFF-FFFF00000000}"/>
  </bookViews>
  <sheets>
    <sheet name="Master_TrCM_Database" sheetId="1" r:id="rId1"/>
    <sheet name="Sheet1" sheetId="2" r:id="rId2"/>
  </sheets>
  <definedNames>
    <definedName name="_xlnm._FilterDatabase" localSheetId="0" hidden="1">Master_TrCM_Database!$A$1:$S$1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L2" i="1"/>
  <c r="M2" i="1"/>
  <c r="N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2" i="1"/>
</calcChain>
</file>

<file path=xl/sharedStrings.xml><?xml version="1.0" encoding="utf-8"?>
<sst xmlns="http://schemas.openxmlformats.org/spreadsheetml/2006/main" count="861" uniqueCount="164">
  <si>
    <t>Document</t>
  </si>
  <si>
    <t>Measure Group</t>
  </si>
  <si>
    <t>Specific Measure</t>
  </si>
  <si>
    <t>Country Raising</t>
  </si>
  <si>
    <t>Tone</t>
  </si>
  <si>
    <t>Strength</t>
  </si>
  <si>
    <t>Concern 1</t>
  </si>
  <si>
    <t>Concern 2</t>
  </si>
  <si>
    <t>Concern 3</t>
  </si>
  <si>
    <t>Concern 4</t>
  </si>
  <si>
    <t>Concern 5</t>
  </si>
  <si>
    <t>G/C/M/153</t>
  </si>
  <si>
    <t>CTG</t>
  </si>
  <si>
    <t>EU CBAM</t>
  </si>
  <si>
    <t>Carbon Measures</t>
  </si>
  <si>
    <t>Brazil</t>
  </si>
  <si>
    <t>Concerned/Critical</t>
  </si>
  <si>
    <t>Strong</t>
  </si>
  <si>
    <t>WTO Compatibility</t>
  </si>
  <si>
    <t>Development Impacts</t>
  </si>
  <si>
    <t>S&amp;DT Concerns</t>
  </si>
  <si>
    <t>Trade Restrictiveness</t>
  </si>
  <si>
    <t>Administrative Burden</t>
  </si>
  <si>
    <t>China</t>
  </si>
  <si>
    <t>Discriminatory Effects</t>
  </si>
  <si>
    <t>Transparency</t>
  </si>
  <si>
    <t>MFN Concerns</t>
  </si>
  <si>
    <t>Argentina</t>
  </si>
  <si>
    <t>Unilateral Measures</t>
  </si>
  <si>
    <t>Indonesia</t>
  </si>
  <si>
    <t>Verification Requirements</t>
  </si>
  <si>
    <t>Thailand</t>
  </si>
  <si>
    <t>Mixed</t>
  </si>
  <si>
    <t>Moderate</t>
  </si>
  <si>
    <t>Carbon Accounting Methodology</t>
  </si>
  <si>
    <t>Compliance Costs</t>
  </si>
  <si>
    <t>India</t>
  </si>
  <si>
    <t>Extraterritoriality</t>
  </si>
  <si>
    <t>Regulatory Fragmentation</t>
  </si>
  <si>
    <t>Japan</t>
  </si>
  <si>
    <t>Republic of Korea</t>
  </si>
  <si>
    <t>Lack of Clarity</t>
  </si>
  <si>
    <t>EUDR</t>
  </si>
  <si>
    <t>Sustainable Food &amp; Agriculture Measures</t>
  </si>
  <si>
    <t>Traceability Requirements</t>
  </si>
  <si>
    <t>Capacity Constraints</t>
  </si>
  <si>
    <t>SME Impacts</t>
  </si>
  <si>
    <t>Implementation Timeline</t>
  </si>
  <si>
    <t>Paraguay</t>
  </si>
  <si>
    <t>Trade Diversion</t>
  </si>
  <si>
    <t>United States</t>
  </si>
  <si>
    <t>Australia</t>
  </si>
  <si>
    <t>EU F-Gas Regulation</t>
  </si>
  <si>
    <t>Other TrCMs</t>
  </si>
  <si>
    <t>Decarbonisation Measures</t>
  </si>
  <si>
    <t>France Revised EV Subsidy Scheme</t>
  </si>
  <si>
    <t>National Treatment</t>
  </si>
  <si>
    <t>Export Competitiveness</t>
  </si>
  <si>
    <t>Carbon Footprint Methodology</t>
  </si>
  <si>
    <t>G/TBT/M/97</t>
  </si>
  <si>
    <t>TBT</t>
  </si>
  <si>
    <t>Carbon Footprint Requirements</t>
  </si>
  <si>
    <t>Recommendation/Request</t>
  </si>
  <si>
    <t>Russian Federation</t>
  </si>
  <si>
    <t>Plastics-Related Measures</t>
  </si>
  <si>
    <t>Recycled Plastics Requirements</t>
  </si>
  <si>
    <t>INF/TE/IDP/W/20/Rev.1</t>
  </si>
  <si>
    <t>DPP</t>
  </si>
  <si>
    <t>Plastic Traceability Requirements</t>
  </si>
  <si>
    <t>DPP Co-Sponsors</t>
  </si>
  <si>
    <t>Informative/Neutral</t>
  </si>
  <si>
    <t>N/A</t>
  </si>
  <si>
    <t>Single-Use Plastics Requirements</t>
  </si>
  <si>
    <t>Plastics Circular Economy Requirements</t>
  </si>
  <si>
    <t>Plastics Waste Management Measures</t>
  </si>
  <si>
    <t>Non-Plastic Substitutes and Alternatives</t>
  </si>
  <si>
    <t>S/C/M/164</t>
  </si>
  <si>
    <t>CTS</t>
  </si>
  <si>
    <t>Green Services Measures</t>
  </si>
  <si>
    <t>WTO Secretariat</t>
  </si>
  <si>
    <t>European Union</t>
  </si>
  <si>
    <t>Supportive</t>
  </si>
  <si>
    <t>Canada</t>
  </si>
  <si>
    <t>WT/COMTD/SE/13</t>
  </si>
  <si>
    <t>COMTD</t>
  </si>
  <si>
    <t>Green Industrial Policies</t>
  </si>
  <si>
    <t>WT/COMTD/SE/M/52</t>
  </si>
  <si>
    <t>ACP Group</t>
  </si>
  <si>
    <t>Mauritius</t>
  </si>
  <si>
    <t>IP/C/M/115/Add.1</t>
  </si>
  <si>
    <t>TRIPS</t>
  </si>
  <si>
    <t>Sustainability &amp; Environmental Requirements</t>
  </si>
  <si>
    <t>Biodiversity-Related Measures</t>
  </si>
  <si>
    <t>Brazil/India/Peru</t>
  </si>
  <si>
    <t>WT/GC/M/222</t>
  </si>
  <si>
    <t>GC</t>
  </si>
  <si>
    <t>Sustainable Agriculture Measures</t>
  </si>
  <si>
    <t>WT/GC/W/986</t>
  </si>
  <si>
    <t>WT/MIN(26)/8</t>
  </si>
  <si>
    <t>Ministerial</t>
  </si>
  <si>
    <t>Food Security Measures</t>
  </si>
  <si>
    <t>Chinese Taipei</t>
  </si>
  <si>
    <t>Türkiye</t>
  </si>
  <si>
    <t>Ecuador</t>
  </si>
  <si>
    <t>Peru</t>
  </si>
  <si>
    <t>Colombia</t>
  </si>
  <si>
    <t>New Zealand</t>
  </si>
  <si>
    <t>European Green Deal</t>
  </si>
  <si>
    <t>Due Diligence &amp; Traceability Measures</t>
  </si>
  <si>
    <t>WT/CTE/GEN/41</t>
  </si>
  <si>
    <t>WT/MIN(26)/22/Add.2</t>
  </si>
  <si>
    <t>WT/TPR/M/480/Add.1</t>
  </si>
  <si>
    <t>CTE</t>
  </si>
  <si>
    <t>MC/TESSD</t>
  </si>
  <si>
    <t>TPR</t>
  </si>
  <si>
    <t>WT/CTE/GEN/37/Rev.1</t>
  </si>
  <si>
    <t>CBAM Scope Expansion</t>
  </si>
  <si>
    <t>CBAM Traceability and Anti-Circumvention Requirements</t>
  </si>
  <si>
    <t>Temporary Decarbonisation Fund</t>
  </si>
  <si>
    <t>WT/CTE/GEN/37/Rev.2</t>
  </si>
  <si>
    <t>WT/CTE/GEN/37/Rev.3</t>
  </si>
  <si>
    <t>Carbon Pricing Measures</t>
  </si>
  <si>
    <t>Singapore</t>
  </si>
  <si>
    <t>Mild</t>
  </si>
  <si>
    <t>Emissions Trading System (ETS)</t>
  </si>
  <si>
    <t>CBAM-Type Mechanism</t>
  </si>
  <si>
    <t>TESSD Working Group</t>
  </si>
  <si>
    <t>Emissions Trading Systems (ETS)</t>
  </si>
  <si>
    <t>Border Carbon Adjustments (BCAs)</t>
  </si>
  <si>
    <t>Climate-Related Taxes</t>
  </si>
  <si>
    <t>Climate-Related Incentives</t>
  </si>
  <si>
    <t>Sustainability Standards</t>
  </si>
  <si>
    <t>Sustainability Certification Requirements</t>
  </si>
  <si>
    <t>Sustainability Labelling Requirements</t>
  </si>
  <si>
    <t>Voluntary Climate Initiatives</t>
  </si>
  <si>
    <t>Sustainability-Linked Trade Preferences</t>
  </si>
  <si>
    <t>Date</t>
  </si>
  <si>
    <t>Body</t>
  </si>
  <si>
    <t>Title</t>
  </si>
  <si>
    <t>Trade Policy Review Thailand Minutes of the Meeting</t>
  </si>
  <si>
    <t>CARBON BORDER ADJUSTMENT MECHANISM, COMMUNICATION FROM THE EUROPEAN UNION</t>
  </si>
  <si>
    <t>CARBON BORDER ADJUSTMENT MECHANISM, COMMUNICATION FROM THE EUROPEAN UNION (Revision)</t>
  </si>
  <si>
    <t>Minutes of the Meeting</t>
  </si>
  <si>
    <t>MINUTES OF THE MEETING OF THE COUNCIL FOR TRADE IN GOODS</t>
  </si>
  <si>
    <t>STATEMENT BY THE TESSD CO-CONVENORS (Addendum)</t>
  </si>
  <si>
    <t>Draft MC14 Statement</t>
  </si>
  <si>
    <t>Report of the Meeting, Note by the Secretariat</t>
  </si>
  <si>
    <t>REPORT OF THE COMMITTEE ON TRADE AND DEVELOPMENT, IN DEDICATED SESSION TO THE GENERAL COUNCIL</t>
  </si>
  <si>
    <t>Note on the Meeting</t>
  </si>
  <si>
    <t>EU Submission on WTO Reform</t>
  </si>
  <si>
    <t xml:space="preserve">ACP GROUP MINISTERIAL DECLARATION </t>
  </si>
  <si>
    <t>Concern Family Group</t>
  </si>
  <si>
    <t>Specific Concern</t>
  </si>
  <si>
    <t>WTO &amp; Legal Concerns</t>
  </si>
  <si>
    <t>Development &amp; Equity Concerns</t>
  </si>
  <si>
    <t>Trade Effects</t>
  </si>
  <si>
    <t>Regulatory Design &amp; Methodology</t>
  </si>
  <si>
    <t>Implementation &amp; Compliance</t>
  </si>
  <si>
    <t>Governance &amp; Regulatory Fragmentation</t>
  </si>
  <si>
    <t>Sub-Concern 1</t>
  </si>
  <si>
    <t>Sub-Concern 2</t>
  </si>
  <si>
    <t>Sub-Concern 3</t>
  </si>
  <si>
    <t>Sub-Concern 4</t>
  </si>
  <si>
    <t>Sub-Concern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</si>
</sst>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15" fontId="0" fillId="0" borderId="0" xfId="0" applyNumberFormat="1" applyFill="1"/>
    <xf numFmtId="0" fontId="0" fillId="0" borderId="0" xfId="0" applyFill="1" applyAlignment="1">
      <alignment vertical="center" wrapText="1"/>
    </xf>
    <xf numFmtId="0" fontId="3" fillId="0" borderId="0" xfId="0" applyFont="1" applyFill="1"/>
    <xf numFmtId="2" fontId="0" fillId="0" borderId="0" xfId="0" applyNumberFormat="1" applyFill="1"/>
    <xf numFmtId="168" fontId="0" fillId="0" borderId="0" xfId="0" applyNumberFormat="1" applyFill="1"/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topLeftCell="A39" workbookViewId="0">
      <selection activeCell="G73" sqref="G73"/>
    </sheetView>
  </sheetViews>
  <sheetFormatPr defaultRowHeight="15" x14ac:dyDescent="0.25"/>
  <cols>
    <col min="1" max="1" width="22.42578125" style="3" bestFit="1" customWidth="1"/>
    <col min="2" max="2" width="22.42578125" style="3" customWidth="1"/>
    <col min="3" max="3" width="14.5703125" style="3" customWidth="1"/>
    <col min="4" max="4" width="51" style="3" bestFit="1" customWidth="1"/>
    <col min="5" max="5" width="42.42578125" style="3" bestFit="1" customWidth="1"/>
    <col min="6" max="6" width="37.42578125" style="3" bestFit="1" customWidth="1"/>
    <col min="7" max="7" width="18.140625" style="3" bestFit="1" customWidth="1"/>
    <col min="8" max="8" width="25.28515625" style="3" bestFit="1" customWidth="1"/>
    <col min="9" max="9" width="9.7109375" style="3" bestFit="1" customWidth="1"/>
    <col min="10" max="13" width="37.7109375" style="3" bestFit="1" customWidth="1"/>
    <col min="14" max="14" width="31.85546875" style="3" bestFit="1" customWidth="1"/>
    <col min="15" max="16" width="30.5703125" style="3" bestFit="1" customWidth="1"/>
    <col min="17" max="18" width="24.85546875" style="3" bestFit="1" customWidth="1"/>
    <col min="19" max="19" width="28.85546875" style="3" bestFit="1" customWidth="1"/>
    <col min="20" max="16384" width="9.140625" style="3"/>
  </cols>
  <sheetData>
    <row r="1" spans="1:19" x14ac:dyDescent="0.25">
      <c r="A1" s="3" t="s">
        <v>0</v>
      </c>
      <c r="B1" s="3" t="s">
        <v>136</v>
      </c>
      <c r="C1" s="3" t="s">
        <v>137</v>
      </c>
      <c r="D1" s="3" t="s">
        <v>138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159</v>
      </c>
      <c r="P1" s="3" t="s">
        <v>160</v>
      </c>
      <c r="Q1" s="3" t="s">
        <v>161</v>
      </c>
      <c r="R1" s="3" t="s">
        <v>162</v>
      </c>
      <c r="S1" s="3" t="s">
        <v>163</v>
      </c>
    </row>
    <row r="2" spans="1:19" x14ac:dyDescent="0.25">
      <c r="A2" s="3" t="s">
        <v>11</v>
      </c>
      <c r="B2" s="4">
        <v>46085</v>
      </c>
      <c r="C2" s="3" t="s">
        <v>12</v>
      </c>
      <c r="D2" s="3" t="s">
        <v>143</v>
      </c>
      <c r="E2" s="5" t="s">
        <v>14</v>
      </c>
      <c r="F2" s="5" t="s">
        <v>13</v>
      </c>
      <c r="G2" s="5" t="s">
        <v>15</v>
      </c>
      <c r="H2" s="5" t="s">
        <v>16</v>
      </c>
      <c r="I2" s="5" t="s">
        <v>17</v>
      </c>
      <c r="J2" s="3" t="str">
        <f>_xlfn.XLOOKUP(O2,Sheet1!$B$2:$B$24,Sheet1!$A$2:$A$24,"NA",0,1)</f>
        <v>Development &amp; Equity Concerns</v>
      </c>
      <c r="K2" s="3" t="str">
        <f>_xlfn.XLOOKUP(P2,Sheet1!$B$2:$B$24,Sheet1!$A$2:$A$24,"NA",0,1)</f>
        <v>Development &amp; Equity Concerns</v>
      </c>
      <c r="L2" s="3" t="str">
        <f>_xlfn.XLOOKUP(Q2,Sheet1!$B$2:$B$24,Sheet1!$A$2:$A$24,"NA",0,1)</f>
        <v>WTO &amp; Legal Concerns</v>
      </c>
      <c r="M2" s="3" t="str">
        <f>_xlfn.XLOOKUP(R2,Sheet1!$B$2:$B$24,Sheet1!$A$2:$A$24,"NA",0,1)</f>
        <v>Trade Effects</v>
      </c>
      <c r="N2" s="3" t="str">
        <f>_xlfn.XLOOKUP(S2,Sheet1!$B$2:$B$24,Sheet1!$A$2:$A$24,"NA",0,1)</f>
        <v>Implementation &amp; Compliance</v>
      </c>
      <c r="O2" s="5" t="s">
        <v>20</v>
      </c>
      <c r="P2" s="5" t="s">
        <v>19</v>
      </c>
      <c r="Q2" s="5" t="s">
        <v>18</v>
      </c>
      <c r="R2" s="5" t="s">
        <v>24</v>
      </c>
      <c r="S2" s="5" t="s">
        <v>22</v>
      </c>
    </row>
    <row r="3" spans="1:19" x14ac:dyDescent="0.25">
      <c r="A3" s="3" t="s">
        <v>11</v>
      </c>
      <c r="B3" s="4">
        <v>46085</v>
      </c>
      <c r="C3" s="3" t="s">
        <v>12</v>
      </c>
      <c r="D3" s="3" t="s">
        <v>143</v>
      </c>
      <c r="E3" s="5" t="s">
        <v>14</v>
      </c>
      <c r="F3" s="5" t="s">
        <v>13</v>
      </c>
      <c r="G3" s="5" t="s">
        <v>23</v>
      </c>
      <c r="H3" s="5" t="s">
        <v>16</v>
      </c>
      <c r="I3" s="5" t="s">
        <v>17</v>
      </c>
      <c r="J3" s="3" t="str">
        <f>_xlfn.XLOOKUP(O3,Sheet1!$B$2:$B$24,Sheet1!$A$2:$A$24,"NA",0,1)</f>
        <v>WTO &amp; Legal Concerns</v>
      </c>
      <c r="K3" s="3" t="str">
        <f>_xlfn.XLOOKUP(P3,Sheet1!$B$2:$B$24,Sheet1!$A$2:$A$24,"NA",0,1)</f>
        <v>WTO &amp; Legal Concerns</v>
      </c>
      <c r="L3" s="3" t="str">
        <f>_xlfn.XLOOKUP(Q3,Sheet1!$B$2:$B$24,Sheet1!$A$2:$A$24,"NA",0,1)</f>
        <v>Development &amp; Equity Concerns</v>
      </c>
      <c r="M3" s="3" t="str">
        <f>_xlfn.XLOOKUP(R3,Sheet1!$B$2:$B$24,Sheet1!$A$2:$A$24,"NA",0,1)</f>
        <v>Implementation &amp; Compliance</v>
      </c>
      <c r="N3" s="3" t="str">
        <f>_xlfn.XLOOKUP(S3,Sheet1!$B$2:$B$24,Sheet1!$A$2:$A$24,"NA",0,1)</f>
        <v>WTO &amp; Legal Concerns</v>
      </c>
      <c r="O3" s="5" t="s">
        <v>18</v>
      </c>
      <c r="P3" s="5" t="s">
        <v>26</v>
      </c>
      <c r="Q3" s="5" t="s">
        <v>20</v>
      </c>
      <c r="R3" s="5" t="s">
        <v>22</v>
      </c>
      <c r="S3" s="5" t="s">
        <v>25</v>
      </c>
    </row>
    <row r="4" spans="1:19" x14ac:dyDescent="0.25">
      <c r="A4" s="3" t="s">
        <v>11</v>
      </c>
      <c r="B4" s="4">
        <v>46085</v>
      </c>
      <c r="C4" s="3" t="s">
        <v>12</v>
      </c>
      <c r="D4" s="3" t="s">
        <v>143</v>
      </c>
      <c r="E4" s="5" t="s">
        <v>14</v>
      </c>
      <c r="F4" s="5" t="s">
        <v>13</v>
      </c>
      <c r="G4" s="5" t="s">
        <v>27</v>
      </c>
      <c r="H4" s="5" t="s">
        <v>16</v>
      </c>
      <c r="I4" s="5" t="s">
        <v>17</v>
      </c>
      <c r="J4" s="3" t="str">
        <f>_xlfn.XLOOKUP(O4,Sheet1!$B$2:$B$24,Sheet1!$A$2:$A$24,"NA",0,1)</f>
        <v>WTO &amp; Legal Concerns</v>
      </c>
      <c r="K4" s="3" t="str">
        <f>_xlfn.XLOOKUP(P4,Sheet1!$B$2:$B$24,Sheet1!$A$2:$A$24,"NA",0,1)</f>
        <v>Development &amp; Equity Concerns</v>
      </c>
      <c r="L4" s="3" t="str">
        <f>_xlfn.XLOOKUP(Q4,Sheet1!$B$2:$B$24,Sheet1!$A$2:$A$24,"NA",0,1)</f>
        <v>Trade Effects</v>
      </c>
      <c r="M4" s="3" t="str">
        <f>_xlfn.XLOOKUP(R4,Sheet1!$B$2:$B$24,Sheet1!$A$2:$A$24,"NA",0,1)</f>
        <v>Governance &amp; Regulatory Fragmentation</v>
      </c>
      <c r="N4" s="3" t="str">
        <f>_xlfn.XLOOKUP(S4,Sheet1!$B$2:$B$24,Sheet1!$A$2:$A$24,"NA",0,1)</f>
        <v>Regulatory Design &amp; Methodology</v>
      </c>
      <c r="O4" s="5" t="s">
        <v>18</v>
      </c>
      <c r="P4" s="5" t="s">
        <v>20</v>
      </c>
      <c r="Q4" s="5" t="s">
        <v>21</v>
      </c>
      <c r="R4" s="5" t="s">
        <v>38</v>
      </c>
      <c r="S4" s="5" t="s">
        <v>41</v>
      </c>
    </row>
    <row r="5" spans="1:19" x14ac:dyDescent="0.25">
      <c r="A5" s="3" t="s">
        <v>11</v>
      </c>
      <c r="B5" s="4">
        <v>46085</v>
      </c>
      <c r="C5" s="3" t="s">
        <v>12</v>
      </c>
      <c r="D5" s="3" t="s">
        <v>143</v>
      </c>
      <c r="E5" s="5" t="s">
        <v>14</v>
      </c>
      <c r="F5" s="5" t="s">
        <v>13</v>
      </c>
      <c r="G5" s="5" t="s">
        <v>48</v>
      </c>
      <c r="H5" s="5" t="s">
        <v>16</v>
      </c>
      <c r="I5" s="5" t="s">
        <v>17</v>
      </c>
      <c r="J5" s="3" t="str">
        <f>_xlfn.XLOOKUP(O5,Sheet1!$B$2:$B$24,Sheet1!$A$2:$A$24,"NA",0,1)</f>
        <v>Development &amp; Equity Concerns</v>
      </c>
      <c r="K5" s="3" t="str">
        <f>_xlfn.XLOOKUP(P5,Sheet1!$B$2:$B$24,Sheet1!$A$2:$A$24,"NA",0,1)</f>
        <v>Development &amp; Equity Concerns</v>
      </c>
      <c r="L5" s="3" t="str">
        <f>_xlfn.XLOOKUP(Q5,Sheet1!$B$2:$B$24,Sheet1!$A$2:$A$24,"NA",0,1)</f>
        <v>Development &amp; Equity Concerns</v>
      </c>
      <c r="M5" s="3" t="str">
        <f>_xlfn.XLOOKUP(R5,Sheet1!$B$2:$B$24,Sheet1!$A$2:$A$24,"NA",0,1)</f>
        <v>Trade Effects</v>
      </c>
      <c r="N5" s="3" t="str">
        <f>_xlfn.XLOOKUP(S5,Sheet1!$B$2:$B$24,Sheet1!$A$2:$A$24,"NA",0,1)</f>
        <v>Trade Effects</v>
      </c>
      <c r="O5" s="5" t="s">
        <v>19</v>
      </c>
      <c r="P5" s="5" t="s">
        <v>45</v>
      </c>
      <c r="Q5" s="5" t="s">
        <v>20</v>
      </c>
      <c r="R5" s="5" t="s">
        <v>21</v>
      </c>
      <c r="S5" s="5" t="s">
        <v>24</v>
      </c>
    </row>
    <row r="6" spans="1:19" ht="30" x14ac:dyDescent="0.25">
      <c r="A6" s="3" t="s">
        <v>11</v>
      </c>
      <c r="B6" s="4">
        <v>46085</v>
      </c>
      <c r="C6" s="3" t="s">
        <v>12</v>
      </c>
      <c r="D6" s="3" t="s">
        <v>143</v>
      </c>
      <c r="E6" s="5" t="s">
        <v>14</v>
      </c>
      <c r="F6" s="5" t="s">
        <v>13</v>
      </c>
      <c r="G6" s="5" t="s">
        <v>29</v>
      </c>
      <c r="H6" s="5" t="s">
        <v>16</v>
      </c>
      <c r="I6" s="5" t="s">
        <v>17</v>
      </c>
      <c r="J6" s="3" t="str">
        <f>_xlfn.XLOOKUP(O6,Sheet1!$B$2:$B$24,Sheet1!$A$2:$A$24,"NA",0,1)</f>
        <v>WTO &amp; Legal Concerns</v>
      </c>
      <c r="K6" s="3" t="str">
        <f>_xlfn.XLOOKUP(P6,Sheet1!$B$2:$B$24,Sheet1!$A$2:$A$24,"NA",0,1)</f>
        <v>Implementation &amp; Compliance</v>
      </c>
      <c r="L6" s="3" t="str">
        <f>_xlfn.XLOOKUP(Q6,Sheet1!$B$2:$B$24,Sheet1!$A$2:$A$24,"NA",0,1)</f>
        <v>Regulatory Design &amp; Methodology</v>
      </c>
      <c r="M6" s="3" t="str">
        <f>_xlfn.XLOOKUP(R6,Sheet1!$B$2:$B$24,Sheet1!$A$2:$A$24,"NA",0,1)</f>
        <v>WTO &amp; Legal Concerns</v>
      </c>
      <c r="N6" s="3" t="str">
        <f>_xlfn.XLOOKUP(S6,Sheet1!$B$2:$B$24,Sheet1!$A$2:$A$24,"NA",0,1)</f>
        <v>Development &amp; Equity Concerns</v>
      </c>
      <c r="O6" s="5" t="s">
        <v>18</v>
      </c>
      <c r="P6" s="5" t="s">
        <v>22</v>
      </c>
      <c r="Q6" s="5" t="s">
        <v>34</v>
      </c>
      <c r="R6" s="5" t="s">
        <v>25</v>
      </c>
      <c r="S6" s="5" t="s">
        <v>20</v>
      </c>
    </row>
    <row r="7" spans="1:19" x14ac:dyDescent="0.25">
      <c r="A7" s="3" t="s">
        <v>11</v>
      </c>
      <c r="B7" s="4">
        <v>46085</v>
      </c>
      <c r="C7" s="3" t="s">
        <v>12</v>
      </c>
      <c r="D7" s="3" t="s">
        <v>143</v>
      </c>
      <c r="E7" s="5" t="s">
        <v>14</v>
      </c>
      <c r="F7" s="5" t="s">
        <v>13</v>
      </c>
      <c r="G7" s="5" t="s">
        <v>31</v>
      </c>
      <c r="H7" s="5" t="s">
        <v>32</v>
      </c>
      <c r="I7" s="5" t="s">
        <v>33</v>
      </c>
      <c r="J7" s="3" t="str">
        <f>_xlfn.XLOOKUP(O7,Sheet1!$B$2:$B$24,Sheet1!$A$2:$A$24,"NA",0,1)</f>
        <v>Regulatory Design &amp; Methodology</v>
      </c>
      <c r="K7" s="3" t="str">
        <f>_xlfn.XLOOKUP(P7,Sheet1!$B$2:$B$24,Sheet1!$A$2:$A$24,"NA",0,1)</f>
        <v>Regulatory Design &amp; Methodology</v>
      </c>
      <c r="L7" s="3" t="str">
        <f>_xlfn.XLOOKUP(Q7,Sheet1!$B$2:$B$24,Sheet1!$A$2:$A$24,"NA",0,1)</f>
        <v>Implementation &amp; Compliance</v>
      </c>
      <c r="M7" s="3" t="str">
        <f>_xlfn.XLOOKUP(R7,Sheet1!$B$2:$B$24,Sheet1!$A$2:$A$24,"NA",0,1)</f>
        <v>WTO &amp; Legal Concerns</v>
      </c>
      <c r="N7" s="3" t="str">
        <f>_xlfn.XLOOKUP(S7,Sheet1!$B$2:$B$24,Sheet1!$A$2:$A$24,"NA",0,1)</f>
        <v>Implementation &amp; Compliance</v>
      </c>
      <c r="O7" s="5" t="s">
        <v>34</v>
      </c>
      <c r="P7" s="5" t="s">
        <v>30</v>
      </c>
      <c r="Q7" s="5" t="s">
        <v>22</v>
      </c>
      <c r="R7" s="5" t="s">
        <v>25</v>
      </c>
      <c r="S7" s="5" t="s">
        <v>35</v>
      </c>
    </row>
    <row r="8" spans="1:19" x14ac:dyDescent="0.25">
      <c r="A8" s="3" t="s">
        <v>11</v>
      </c>
      <c r="B8" s="4">
        <v>46085</v>
      </c>
      <c r="C8" s="3" t="s">
        <v>12</v>
      </c>
      <c r="D8" s="3" t="s">
        <v>143</v>
      </c>
      <c r="E8" s="5" t="s">
        <v>14</v>
      </c>
      <c r="F8" s="5" t="s">
        <v>13</v>
      </c>
      <c r="G8" s="5" t="s">
        <v>36</v>
      </c>
      <c r="H8" s="5" t="s">
        <v>16</v>
      </c>
      <c r="I8" s="5" t="s">
        <v>17</v>
      </c>
      <c r="J8" s="3" t="str">
        <f>_xlfn.XLOOKUP(O8,Sheet1!$B$2:$B$24,Sheet1!$A$2:$A$24,"NA",0,1)</f>
        <v>Governance &amp; Regulatory Fragmentation</v>
      </c>
      <c r="K8" s="3" t="str">
        <f>_xlfn.XLOOKUP(P8,Sheet1!$B$2:$B$24,Sheet1!$A$2:$A$24,"NA",0,1)</f>
        <v>Governance &amp; Regulatory Fragmentation</v>
      </c>
      <c r="L8" s="3" t="str">
        <f>_xlfn.XLOOKUP(Q8,Sheet1!$B$2:$B$24,Sheet1!$A$2:$A$24,"NA",0,1)</f>
        <v>Development &amp; Equity Concerns</v>
      </c>
      <c r="M8" s="3" t="str">
        <f>_xlfn.XLOOKUP(R8,Sheet1!$B$2:$B$24,Sheet1!$A$2:$A$24,"NA",0,1)</f>
        <v>Trade Effects</v>
      </c>
      <c r="N8" s="3" t="str">
        <f>_xlfn.XLOOKUP(S8,Sheet1!$B$2:$B$24,Sheet1!$A$2:$A$24,"NA",0,1)</f>
        <v>Regulatory Design &amp; Methodology</v>
      </c>
      <c r="O8" s="5" t="s">
        <v>37</v>
      </c>
      <c r="P8" s="5" t="s">
        <v>38</v>
      </c>
      <c r="Q8" s="5" t="s">
        <v>20</v>
      </c>
      <c r="R8" s="5" t="s">
        <v>21</v>
      </c>
      <c r="S8" s="5" t="s">
        <v>41</v>
      </c>
    </row>
    <row r="9" spans="1:19" x14ac:dyDescent="0.25">
      <c r="A9" s="3" t="s">
        <v>11</v>
      </c>
      <c r="B9" s="4">
        <v>46085</v>
      </c>
      <c r="C9" s="3" t="s">
        <v>12</v>
      </c>
      <c r="D9" s="3" t="s">
        <v>143</v>
      </c>
      <c r="E9" s="5" t="s">
        <v>14</v>
      </c>
      <c r="F9" s="5" t="s">
        <v>13</v>
      </c>
      <c r="G9" s="5" t="s">
        <v>101</v>
      </c>
      <c r="H9" s="5" t="s">
        <v>32</v>
      </c>
      <c r="I9" s="5" t="s">
        <v>33</v>
      </c>
      <c r="J9" s="3" t="str">
        <f>_xlfn.XLOOKUP(O9,Sheet1!$B$2:$B$24,Sheet1!$A$2:$A$24,"NA",0,1)</f>
        <v>Regulatory Design &amp; Methodology</v>
      </c>
      <c r="K9" s="3" t="str">
        <f>_xlfn.XLOOKUP(P9,Sheet1!$B$2:$B$24,Sheet1!$A$2:$A$24,"NA",0,1)</f>
        <v>Regulatory Design &amp; Methodology</v>
      </c>
      <c r="L9" s="3" t="str">
        <f>_xlfn.XLOOKUP(Q9,Sheet1!$B$2:$B$24,Sheet1!$A$2:$A$24,"NA",0,1)</f>
        <v>Implementation &amp; Compliance</v>
      </c>
      <c r="M9" s="3" t="str">
        <f>_xlfn.XLOOKUP(R9,Sheet1!$B$2:$B$24,Sheet1!$A$2:$A$24,"NA",0,1)</f>
        <v>WTO &amp; Legal Concerns</v>
      </c>
      <c r="N9" s="3" t="str">
        <f>_xlfn.XLOOKUP(S9,Sheet1!$B$2:$B$24,Sheet1!$A$2:$A$24,"NA",0,1)</f>
        <v>WTO &amp; Legal Concerns</v>
      </c>
      <c r="O9" s="5" t="s">
        <v>34</v>
      </c>
      <c r="P9" s="5" t="s">
        <v>30</v>
      </c>
      <c r="Q9" s="5" t="s">
        <v>35</v>
      </c>
      <c r="R9" s="5" t="s">
        <v>25</v>
      </c>
      <c r="S9" s="5" t="s">
        <v>18</v>
      </c>
    </row>
    <row r="10" spans="1:19" x14ac:dyDescent="0.25">
      <c r="A10" s="3" t="s">
        <v>11</v>
      </c>
      <c r="B10" s="4">
        <v>46085</v>
      </c>
      <c r="C10" s="3" t="s">
        <v>12</v>
      </c>
      <c r="D10" s="3" t="s">
        <v>143</v>
      </c>
      <c r="E10" s="5" t="s">
        <v>14</v>
      </c>
      <c r="F10" s="5" t="s">
        <v>13</v>
      </c>
      <c r="G10" s="5" t="s">
        <v>102</v>
      </c>
      <c r="H10" s="5" t="s">
        <v>16</v>
      </c>
      <c r="I10" s="5" t="s">
        <v>17</v>
      </c>
      <c r="J10" s="3" t="str">
        <f>_xlfn.XLOOKUP(O10,Sheet1!$B$2:$B$24,Sheet1!$A$2:$A$24,"NA",0,1)</f>
        <v>Implementation &amp; Compliance</v>
      </c>
      <c r="K10" s="3" t="str">
        <f>_xlfn.XLOOKUP(P10,Sheet1!$B$2:$B$24,Sheet1!$A$2:$A$24,"NA",0,1)</f>
        <v>Development &amp; Equity Concerns</v>
      </c>
      <c r="L10" s="3" t="str">
        <f>_xlfn.XLOOKUP(Q10,Sheet1!$B$2:$B$24,Sheet1!$A$2:$A$24,"NA",0,1)</f>
        <v>Trade Effects</v>
      </c>
      <c r="M10" s="3" t="str">
        <f>_xlfn.XLOOKUP(R10,Sheet1!$B$2:$B$24,Sheet1!$A$2:$A$24,"NA",0,1)</f>
        <v>WTO &amp; Legal Concerns</v>
      </c>
      <c r="N10" s="3" t="str">
        <f>_xlfn.XLOOKUP(S10,Sheet1!$B$2:$B$24,Sheet1!$A$2:$A$24,"NA",0,1)</f>
        <v>Regulatory Design &amp; Methodology</v>
      </c>
      <c r="O10" s="5" t="s">
        <v>22</v>
      </c>
      <c r="P10" s="5" t="s">
        <v>46</v>
      </c>
      <c r="Q10" s="5" t="s">
        <v>24</v>
      </c>
      <c r="R10" s="5" t="s">
        <v>18</v>
      </c>
      <c r="S10" s="5" t="s">
        <v>41</v>
      </c>
    </row>
    <row r="11" spans="1:19" x14ac:dyDescent="0.25">
      <c r="A11" s="3" t="s">
        <v>11</v>
      </c>
      <c r="B11" s="4">
        <v>46085</v>
      </c>
      <c r="C11" s="3" t="s">
        <v>12</v>
      </c>
      <c r="D11" s="3" t="s">
        <v>143</v>
      </c>
      <c r="E11" s="5" t="s">
        <v>14</v>
      </c>
      <c r="F11" s="5" t="s">
        <v>13</v>
      </c>
      <c r="G11" s="5" t="s">
        <v>39</v>
      </c>
      <c r="H11" s="5" t="s">
        <v>16</v>
      </c>
      <c r="I11" s="5" t="s">
        <v>17</v>
      </c>
      <c r="J11" s="3" t="str">
        <f>_xlfn.XLOOKUP(O11,Sheet1!$B$2:$B$24,Sheet1!$A$2:$A$24,"NA",0,1)</f>
        <v>WTO &amp; Legal Concerns</v>
      </c>
      <c r="K11" s="3" t="str">
        <f>_xlfn.XLOOKUP(P11,Sheet1!$B$2:$B$24,Sheet1!$A$2:$A$24,"NA",0,1)</f>
        <v>Regulatory Design &amp; Methodology</v>
      </c>
      <c r="L11" s="3" t="str">
        <f>_xlfn.XLOOKUP(Q11,Sheet1!$B$2:$B$24,Sheet1!$A$2:$A$24,"NA",0,1)</f>
        <v>Regulatory Design &amp; Methodology</v>
      </c>
      <c r="M11" s="3" t="str">
        <f>_xlfn.XLOOKUP(R11,Sheet1!$B$2:$B$24,Sheet1!$A$2:$A$24,"NA",0,1)</f>
        <v>Implementation &amp; Compliance</v>
      </c>
      <c r="N11" s="3" t="str">
        <f>_xlfn.XLOOKUP(S11,Sheet1!$B$2:$B$24,Sheet1!$A$2:$A$24,"NA",0,1)</f>
        <v>Trade Effects</v>
      </c>
      <c r="O11" s="5" t="s">
        <v>18</v>
      </c>
      <c r="P11" s="5" t="s">
        <v>34</v>
      </c>
      <c r="Q11" s="5" t="s">
        <v>30</v>
      </c>
      <c r="R11" s="5" t="s">
        <v>35</v>
      </c>
      <c r="S11" s="5" t="s">
        <v>21</v>
      </c>
    </row>
    <row r="12" spans="1:19" x14ac:dyDescent="0.25">
      <c r="A12" s="3" t="s">
        <v>11</v>
      </c>
      <c r="B12" s="4">
        <v>46085</v>
      </c>
      <c r="C12" s="3" t="s">
        <v>12</v>
      </c>
      <c r="D12" s="3" t="s">
        <v>143</v>
      </c>
      <c r="E12" s="5" t="s">
        <v>14</v>
      </c>
      <c r="F12" s="5" t="s">
        <v>13</v>
      </c>
      <c r="G12" s="5" t="s">
        <v>40</v>
      </c>
      <c r="H12" s="5" t="s">
        <v>32</v>
      </c>
      <c r="I12" s="5" t="s">
        <v>33</v>
      </c>
      <c r="J12" s="3" t="str">
        <f>_xlfn.XLOOKUP(O12,Sheet1!$B$2:$B$24,Sheet1!$A$2:$A$24,"NA",0,1)</f>
        <v>Regulatory Design &amp; Methodology</v>
      </c>
      <c r="K12" s="3" t="str">
        <f>_xlfn.XLOOKUP(P12,Sheet1!$B$2:$B$24,Sheet1!$A$2:$A$24,"NA",0,1)</f>
        <v>Regulatory Design &amp; Methodology</v>
      </c>
      <c r="L12" s="3" t="str">
        <f>_xlfn.XLOOKUP(Q12,Sheet1!$B$2:$B$24,Sheet1!$A$2:$A$24,"NA",0,1)</f>
        <v>Trade Effects</v>
      </c>
      <c r="M12" s="3" t="str">
        <f>_xlfn.XLOOKUP(R12,Sheet1!$B$2:$B$24,Sheet1!$A$2:$A$24,"NA",0,1)</f>
        <v>Implementation &amp; Compliance</v>
      </c>
      <c r="N12" s="3" t="str">
        <f>_xlfn.XLOOKUP(S12,Sheet1!$B$2:$B$24,Sheet1!$A$2:$A$24,"NA",0,1)</f>
        <v>Regulatory Design &amp; Methodology</v>
      </c>
      <c r="O12" s="5" t="s">
        <v>34</v>
      </c>
      <c r="P12" s="5" t="s">
        <v>30</v>
      </c>
      <c r="Q12" s="5" t="s">
        <v>24</v>
      </c>
      <c r="R12" s="5" t="s">
        <v>22</v>
      </c>
      <c r="S12" s="5" t="s">
        <v>41</v>
      </c>
    </row>
    <row r="13" spans="1:19" x14ac:dyDescent="0.25">
      <c r="A13" s="3" t="s">
        <v>11</v>
      </c>
      <c r="B13" s="4">
        <v>46085</v>
      </c>
      <c r="C13" s="3" t="s">
        <v>12</v>
      </c>
      <c r="D13" s="3" t="s">
        <v>143</v>
      </c>
      <c r="E13" s="5" t="s">
        <v>43</v>
      </c>
      <c r="F13" s="3" t="s">
        <v>42</v>
      </c>
      <c r="G13" s="5" t="s">
        <v>15</v>
      </c>
      <c r="H13" s="5" t="s">
        <v>16</v>
      </c>
      <c r="I13" s="5" t="s">
        <v>17</v>
      </c>
      <c r="J13" s="3" t="str">
        <f>_xlfn.XLOOKUP(O13,Sheet1!$B$2:$B$24,Sheet1!$A$2:$A$24,"NA",0,1)</f>
        <v>WTO &amp; Legal Concerns</v>
      </c>
      <c r="K13" s="3" t="str">
        <f>_xlfn.XLOOKUP(P13,Sheet1!$B$2:$B$24,Sheet1!$A$2:$A$24,"NA",0,1)</f>
        <v>Trade Effects</v>
      </c>
      <c r="L13" s="3" t="str">
        <f>_xlfn.XLOOKUP(Q13,Sheet1!$B$2:$B$24,Sheet1!$A$2:$A$24,"NA",0,1)</f>
        <v>Trade Effects</v>
      </c>
      <c r="M13" s="3" t="str">
        <f>_xlfn.XLOOKUP(R13,Sheet1!$B$2:$B$24,Sheet1!$A$2:$A$24,"NA",0,1)</f>
        <v>Regulatory Design &amp; Methodology</v>
      </c>
      <c r="N13" s="3" t="str">
        <f>_xlfn.XLOOKUP(S13,Sheet1!$B$2:$B$24,Sheet1!$A$2:$A$24,"NA",0,1)</f>
        <v>Implementation &amp; Compliance</v>
      </c>
      <c r="O13" s="5" t="s">
        <v>18</v>
      </c>
      <c r="P13" s="5" t="s">
        <v>21</v>
      </c>
      <c r="Q13" s="5" t="s">
        <v>24</v>
      </c>
      <c r="R13" s="5" t="s">
        <v>44</v>
      </c>
      <c r="S13" s="5" t="s">
        <v>22</v>
      </c>
    </row>
    <row r="14" spans="1:19" x14ac:dyDescent="0.25">
      <c r="A14" s="3" t="s">
        <v>11</v>
      </c>
      <c r="B14" s="4">
        <v>46085</v>
      </c>
      <c r="C14" s="3" t="s">
        <v>12</v>
      </c>
      <c r="D14" s="3" t="s">
        <v>143</v>
      </c>
      <c r="E14" s="5" t="s">
        <v>43</v>
      </c>
      <c r="F14" s="3" t="s">
        <v>42</v>
      </c>
      <c r="G14" s="5" t="s">
        <v>31</v>
      </c>
      <c r="H14" s="5" t="s">
        <v>32</v>
      </c>
      <c r="I14" s="5" t="s">
        <v>33</v>
      </c>
      <c r="J14" s="3" t="str">
        <f>_xlfn.XLOOKUP(O14,Sheet1!$B$2:$B$24,Sheet1!$A$2:$A$24,"NA",0,1)</f>
        <v>Development &amp; Equity Concerns</v>
      </c>
      <c r="K14" s="3" t="str">
        <f>_xlfn.XLOOKUP(P14,Sheet1!$B$2:$B$24,Sheet1!$A$2:$A$24,"NA",0,1)</f>
        <v>Development &amp; Equity Concerns</v>
      </c>
      <c r="L14" s="3" t="str">
        <f>_xlfn.XLOOKUP(Q14,Sheet1!$B$2:$B$24,Sheet1!$A$2:$A$24,"NA",0,1)</f>
        <v>Development &amp; Equity Concerns</v>
      </c>
      <c r="M14" s="3" t="str">
        <f>_xlfn.XLOOKUP(R14,Sheet1!$B$2:$B$24,Sheet1!$A$2:$A$24,"NA",0,1)</f>
        <v>Implementation &amp; Compliance</v>
      </c>
      <c r="N14" s="3" t="str">
        <f>_xlfn.XLOOKUP(S14,Sheet1!$B$2:$B$24,Sheet1!$A$2:$A$24,"NA",0,1)</f>
        <v>Implementation &amp; Compliance</v>
      </c>
      <c r="O14" s="5" t="s">
        <v>46</v>
      </c>
      <c r="P14" s="5" t="s">
        <v>45</v>
      </c>
      <c r="Q14" s="5" t="s">
        <v>20</v>
      </c>
      <c r="R14" s="5" t="s">
        <v>47</v>
      </c>
      <c r="S14" s="5" t="s">
        <v>22</v>
      </c>
    </row>
    <row r="15" spans="1:19" x14ac:dyDescent="0.25">
      <c r="A15" s="3" t="s">
        <v>11</v>
      </c>
      <c r="B15" s="4">
        <v>46085</v>
      </c>
      <c r="C15" s="3" t="s">
        <v>12</v>
      </c>
      <c r="D15" s="3" t="s">
        <v>143</v>
      </c>
      <c r="E15" s="5" t="s">
        <v>43</v>
      </c>
      <c r="F15" s="3" t="s">
        <v>42</v>
      </c>
      <c r="G15" s="5" t="s">
        <v>27</v>
      </c>
      <c r="H15" s="5" t="s">
        <v>16</v>
      </c>
      <c r="I15" s="5" t="s">
        <v>17</v>
      </c>
      <c r="J15" s="3" t="str">
        <f>_xlfn.XLOOKUP(O15,Sheet1!$B$2:$B$24,Sheet1!$A$2:$A$24,"NA",0,1)</f>
        <v>Trade Effects</v>
      </c>
      <c r="K15" s="3" t="str">
        <f>_xlfn.XLOOKUP(P15,Sheet1!$B$2:$B$24,Sheet1!$A$2:$A$24,"NA",0,1)</f>
        <v>Regulatory Design &amp; Methodology</v>
      </c>
      <c r="L15" s="3" t="str">
        <f>_xlfn.XLOOKUP(Q15,Sheet1!$B$2:$B$24,Sheet1!$A$2:$A$24,"NA",0,1)</f>
        <v>Trade Effects</v>
      </c>
      <c r="M15" s="3" t="str">
        <f>_xlfn.XLOOKUP(R15,Sheet1!$B$2:$B$24,Sheet1!$A$2:$A$24,"NA",0,1)</f>
        <v>WTO &amp; Legal Concerns</v>
      </c>
      <c r="N15" s="3" t="str">
        <f>_xlfn.XLOOKUP(S15,Sheet1!$B$2:$B$24,Sheet1!$A$2:$A$24,"NA",0,1)</f>
        <v>Regulatory Design &amp; Methodology</v>
      </c>
      <c r="O15" s="5" t="s">
        <v>24</v>
      </c>
      <c r="P15" s="5" t="s">
        <v>44</v>
      </c>
      <c r="Q15" s="5" t="s">
        <v>21</v>
      </c>
      <c r="R15" s="5" t="s">
        <v>18</v>
      </c>
      <c r="S15" s="5" t="s">
        <v>41</v>
      </c>
    </row>
    <row r="16" spans="1:19" x14ac:dyDescent="0.25">
      <c r="A16" s="3" t="s">
        <v>11</v>
      </c>
      <c r="B16" s="4">
        <v>46085</v>
      </c>
      <c r="C16" s="3" t="s">
        <v>12</v>
      </c>
      <c r="D16" s="3" t="s">
        <v>143</v>
      </c>
      <c r="E16" s="5" t="s">
        <v>43</v>
      </c>
      <c r="F16" s="3" t="s">
        <v>42</v>
      </c>
      <c r="G16" s="5" t="s">
        <v>103</v>
      </c>
      <c r="H16" s="5" t="s">
        <v>16</v>
      </c>
      <c r="I16" s="5" t="s">
        <v>17</v>
      </c>
      <c r="J16" s="3" t="str">
        <f>_xlfn.XLOOKUP(O16,Sheet1!$B$2:$B$24,Sheet1!$A$2:$A$24,"NA",0,1)</f>
        <v>Development &amp; Equity Concerns</v>
      </c>
      <c r="K16" s="3" t="str">
        <f>_xlfn.XLOOKUP(P16,Sheet1!$B$2:$B$24,Sheet1!$A$2:$A$24,"NA",0,1)</f>
        <v>Development &amp; Equity Concerns</v>
      </c>
      <c r="L16" s="3" t="str">
        <f>_xlfn.XLOOKUP(Q16,Sheet1!$B$2:$B$24,Sheet1!$A$2:$A$24,"NA",0,1)</f>
        <v>WTO &amp; Legal Concerns</v>
      </c>
      <c r="M16" s="3" t="str">
        <f>_xlfn.XLOOKUP(R16,Sheet1!$B$2:$B$24,Sheet1!$A$2:$A$24,"NA",0,1)</f>
        <v>Development &amp; Equity Concerns</v>
      </c>
      <c r="N16" s="3" t="str">
        <f>_xlfn.XLOOKUP(S16,Sheet1!$B$2:$B$24,Sheet1!$A$2:$A$24,"NA",0,1)</f>
        <v>Regulatory Design &amp; Methodology</v>
      </c>
      <c r="O16" s="5" t="s">
        <v>19</v>
      </c>
      <c r="P16" s="5" t="s">
        <v>46</v>
      </c>
      <c r="Q16" s="5" t="s">
        <v>25</v>
      </c>
      <c r="R16" s="5" t="s">
        <v>45</v>
      </c>
      <c r="S16" s="5" t="s">
        <v>41</v>
      </c>
    </row>
    <row r="17" spans="1:19" x14ac:dyDescent="0.25">
      <c r="A17" s="3" t="s">
        <v>11</v>
      </c>
      <c r="B17" s="4">
        <v>46085</v>
      </c>
      <c r="C17" s="3" t="s">
        <v>12</v>
      </c>
      <c r="D17" s="3" t="s">
        <v>143</v>
      </c>
      <c r="E17" s="5" t="s">
        <v>43</v>
      </c>
      <c r="F17" s="3" t="s">
        <v>42</v>
      </c>
      <c r="G17" s="5" t="s">
        <v>63</v>
      </c>
      <c r="H17" s="5" t="s">
        <v>16</v>
      </c>
      <c r="I17" s="5" t="s">
        <v>17</v>
      </c>
      <c r="J17" s="3" t="str">
        <f>_xlfn.XLOOKUP(O17,Sheet1!$B$2:$B$24,Sheet1!$A$2:$A$24,"NA",0,1)</f>
        <v>Governance &amp; Regulatory Fragmentation</v>
      </c>
      <c r="K17" s="3" t="str">
        <f>_xlfn.XLOOKUP(P17,Sheet1!$B$2:$B$24,Sheet1!$A$2:$A$24,"NA",0,1)</f>
        <v>Trade Effects</v>
      </c>
      <c r="L17" s="3" t="str">
        <f>_xlfn.XLOOKUP(Q17,Sheet1!$B$2:$B$24,Sheet1!$A$2:$A$24,"NA",0,1)</f>
        <v>Trade Effects</v>
      </c>
      <c r="M17" s="3" t="str">
        <f>_xlfn.XLOOKUP(R17,Sheet1!$B$2:$B$24,Sheet1!$A$2:$A$24,"NA",0,1)</f>
        <v>Implementation &amp; Compliance</v>
      </c>
      <c r="N17" s="3" t="str">
        <f>_xlfn.XLOOKUP(S17,Sheet1!$B$2:$B$24,Sheet1!$A$2:$A$24,"NA",0,1)</f>
        <v>WTO &amp; Legal Concerns</v>
      </c>
      <c r="O17" s="5" t="s">
        <v>37</v>
      </c>
      <c r="P17" s="5" t="s">
        <v>21</v>
      </c>
      <c r="Q17" s="5" t="s">
        <v>24</v>
      </c>
      <c r="R17" s="5" t="s">
        <v>22</v>
      </c>
      <c r="S17" s="5" t="s">
        <v>18</v>
      </c>
    </row>
    <row r="18" spans="1:19" x14ac:dyDescent="0.25">
      <c r="A18" s="3" t="s">
        <v>11</v>
      </c>
      <c r="B18" s="4">
        <v>46085</v>
      </c>
      <c r="C18" s="3" t="s">
        <v>12</v>
      </c>
      <c r="D18" s="3" t="s">
        <v>143</v>
      </c>
      <c r="E18" s="5" t="s">
        <v>43</v>
      </c>
      <c r="F18" s="3" t="s">
        <v>42</v>
      </c>
      <c r="G18" s="5" t="s">
        <v>29</v>
      </c>
      <c r="H18" s="5" t="s">
        <v>16</v>
      </c>
      <c r="I18" s="5" t="s">
        <v>17</v>
      </c>
      <c r="J18" s="3" t="str">
        <f>_xlfn.XLOOKUP(O18,Sheet1!$B$2:$B$24,Sheet1!$A$2:$A$24,"NA",0,1)</f>
        <v>WTO &amp; Legal Concerns</v>
      </c>
      <c r="K18" s="3" t="str">
        <f>_xlfn.XLOOKUP(P18,Sheet1!$B$2:$B$24,Sheet1!$A$2:$A$24,"NA",0,1)</f>
        <v>Trade Effects</v>
      </c>
      <c r="L18" s="3" t="str">
        <f>_xlfn.XLOOKUP(Q18,Sheet1!$B$2:$B$24,Sheet1!$A$2:$A$24,"NA",0,1)</f>
        <v>Regulatory Design &amp; Methodology</v>
      </c>
      <c r="M18" s="3" t="str">
        <f>_xlfn.XLOOKUP(R18,Sheet1!$B$2:$B$24,Sheet1!$A$2:$A$24,"NA",0,1)</f>
        <v>Implementation &amp; Compliance</v>
      </c>
      <c r="N18" s="3" t="str">
        <f>_xlfn.XLOOKUP(S18,Sheet1!$B$2:$B$24,Sheet1!$A$2:$A$24,"NA",0,1)</f>
        <v>Development &amp; Equity Concerns</v>
      </c>
      <c r="O18" s="5" t="s">
        <v>18</v>
      </c>
      <c r="P18" s="5" t="s">
        <v>24</v>
      </c>
      <c r="Q18" s="5" t="s">
        <v>44</v>
      </c>
      <c r="R18" s="5" t="s">
        <v>22</v>
      </c>
      <c r="S18" s="5" t="s">
        <v>20</v>
      </c>
    </row>
    <row r="19" spans="1:19" x14ac:dyDescent="0.25">
      <c r="A19" s="3" t="s">
        <v>11</v>
      </c>
      <c r="B19" s="4">
        <v>46085</v>
      </c>
      <c r="C19" s="3" t="s">
        <v>12</v>
      </c>
      <c r="D19" s="3" t="s">
        <v>143</v>
      </c>
      <c r="E19" s="5" t="s">
        <v>43</v>
      </c>
      <c r="F19" s="3" t="s">
        <v>42</v>
      </c>
      <c r="G19" s="5" t="s">
        <v>48</v>
      </c>
      <c r="H19" s="5" t="s">
        <v>16</v>
      </c>
      <c r="I19" s="5" t="s">
        <v>17</v>
      </c>
      <c r="J19" s="3" t="str">
        <f>_xlfn.XLOOKUP(O19,Sheet1!$B$2:$B$24,Sheet1!$A$2:$A$24,"NA",0,1)</f>
        <v>Development &amp; Equity Concerns</v>
      </c>
      <c r="K19" s="3" t="str">
        <f>_xlfn.XLOOKUP(P19,Sheet1!$B$2:$B$24,Sheet1!$A$2:$A$24,"NA",0,1)</f>
        <v>Regulatory Design &amp; Methodology</v>
      </c>
      <c r="L19" s="3" t="str">
        <f>_xlfn.XLOOKUP(Q19,Sheet1!$B$2:$B$24,Sheet1!$A$2:$A$24,"NA",0,1)</f>
        <v>Implementation &amp; Compliance</v>
      </c>
      <c r="M19" s="3" t="str">
        <f>_xlfn.XLOOKUP(R19,Sheet1!$B$2:$B$24,Sheet1!$A$2:$A$24,"NA",0,1)</f>
        <v>Trade Effects</v>
      </c>
      <c r="N19" s="3" t="str">
        <f>_xlfn.XLOOKUP(S19,Sheet1!$B$2:$B$24,Sheet1!$A$2:$A$24,"NA",0,1)</f>
        <v>Trade Effects</v>
      </c>
      <c r="O19" s="5" t="s">
        <v>19</v>
      </c>
      <c r="P19" s="5" t="s">
        <v>44</v>
      </c>
      <c r="Q19" s="5" t="s">
        <v>35</v>
      </c>
      <c r="R19" s="5" t="s">
        <v>24</v>
      </c>
      <c r="S19" s="5" t="s">
        <v>49</v>
      </c>
    </row>
    <row r="20" spans="1:19" x14ac:dyDescent="0.25">
      <c r="A20" s="3" t="s">
        <v>11</v>
      </c>
      <c r="B20" s="4">
        <v>46085</v>
      </c>
      <c r="C20" s="3" t="s">
        <v>12</v>
      </c>
      <c r="D20" s="3" t="s">
        <v>143</v>
      </c>
      <c r="E20" s="5" t="s">
        <v>43</v>
      </c>
      <c r="F20" s="3" t="s">
        <v>42</v>
      </c>
      <c r="G20" s="5" t="s">
        <v>36</v>
      </c>
      <c r="H20" s="5" t="s">
        <v>16</v>
      </c>
      <c r="I20" s="5" t="s">
        <v>33</v>
      </c>
      <c r="J20" s="3" t="str">
        <f>_xlfn.XLOOKUP(O20,Sheet1!$B$2:$B$24,Sheet1!$A$2:$A$24,"NA",0,1)</f>
        <v>Development &amp; Equity Concerns</v>
      </c>
      <c r="K20" s="3" t="str">
        <f>_xlfn.XLOOKUP(P20,Sheet1!$B$2:$B$24,Sheet1!$A$2:$A$24,"NA",0,1)</f>
        <v>Governance &amp; Regulatory Fragmentation</v>
      </c>
      <c r="L20" s="3" t="str">
        <f>_xlfn.XLOOKUP(Q20,Sheet1!$B$2:$B$24,Sheet1!$A$2:$A$24,"NA",0,1)</f>
        <v>Implementation &amp; Compliance</v>
      </c>
      <c r="M20" s="3" t="str">
        <f>_xlfn.XLOOKUP(R20,Sheet1!$B$2:$B$24,Sheet1!$A$2:$A$24,"NA",0,1)</f>
        <v>WTO &amp; Legal Concerns</v>
      </c>
      <c r="N20" s="3" t="str">
        <f>_xlfn.XLOOKUP(S20,Sheet1!$B$2:$B$24,Sheet1!$A$2:$A$24,"NA",0,1)</f>
        <v>NA</v>
      </c>
      <c r="O20" s="5" t="s">
        <v>20</v>
      </c>
      <c r="P20" s="5" t="s">
        <v>37</v>
      </c>
      <c r="Q20" s="5" t="s">
        <v>22</v>
      </c>
      <c r="R20" s="5" t="s">
        <v>18</v>
      </c>
      <c r="S20" s="5"/>
    </row>
    <row r="21" spans="1:19" x14ac:dyDescent="0.25">
      <c r="A21" s="3" t="s">
        <v>11</v>
      </c>
      <c r="B21" s="4">
        <v>46085</v>
      </c>
      <c r="C21" s="3" t="s">
        <v>12</v>
      </c>
      <c r="D21" s="3" t="s">
        <v>143</v>
      </c>
      <c r="E21" s="5" t="s">
        <v>43</v>
      </c>
      <c r="F21" s="3" t="s">
        <v>42</v>
      </c>
      <c r="G21" s="5" t="s">
        <v>104</v>
      </c>
      <c r="H21" s="5" t="s">
        <v>16</v>
      </c>
      <c r="I21" s="5" t="s">
        <v>17</v>
      </c>
      <c r="J21" s="3" t="str">
        <f>_xlfn.XLOOKUP(O21,Sheet1!$B$2:$B$24,Sheet1!$A$2:$A$24,"NA",0,1)</f>
        <v>WTO &amp; Legal Concerns</v>
      </c>
      <c r="K21" s="3" t="str">
        <f>_xlfn.XLOOKUP(P21,Sheet1!$B$2:$B$24,Sheet1!$A$2:$A$24,"NA",0,1)</f>
        <v>Trade Effects</v>
      </c>
      <c r="L21" s="3" t="str">
        <f>_xlfn.XLOOKUP(Q21,Sheet1!$B$2:$B$24,Sheet1!$A$2:$A$24,"NA",0,1)</f>
        <v>Regulatory Design &amp; Methodology</v>
      </c>
      <c r="M21" s="3" t="str">
        <f>_xlfn.XLOOKUP(R21,Sheet1!$B$2:$B$24,Sheet1!$A$2:$A$24,"NA",0,1)</f>
        <v>Development &amp; Equity Concerns</v>
      </c>
      <c r="N21" s="3" t="str">
        <f>_xlfn.XLOOKUP(S21,Sheet1!$B$2:$B$24,Sheet1!$A$2:$A$24,"NA",0,1)</f>
        <v>Implementation &amp; Compliance</v>
      </c>
      <c r="O21" s="5" t="s">
        <v>18</v>
      </c>
      <c r="P21" s="5" t="s">
        <v>24</v>
      </c>
      <c r="Q21" s="5" t="s">
        <v>44</v>
      </c>
      <c r="R21" s="5" t="s">
        <v>19</v>
      </c>
      <c r="S21" s="5" t="s">
        <v>35</v>
      </c>
    </row>
    <row r="22" spans="1:19" x14ac:dyDescent="0.25">
      <c r="A22" s="3" t="s">
        <v>11</v>
      </c>
      <c r="B22" s="4">
        <v>46085</v>
      </c>
      <c r="C22" s="3" t="s">
        <v>12</v>
      </c>
      <c r="D22" s="3" t="s">
        <v>143</v>
      </c>
      <c r="E22" s="5" t="s">
        <v>43</v>
      </c>
      <c r="F22" s="3" t="s">
        <v>42</v>
      </c>
      <c r="G22" s="5" t="s">
        <v>50</v>
      </c>
      <c r="H22" s="5" t="s">
        <v>16</v>
      </c>
      <c r="I22" s="5" t="s">
        <v>17</v>
      </c>
      <c r="J22" s="3" t="str">
        <f>_xlfn.XLOOKUP(O22,Sheet1!$B$2:$B$24,Sheet1!$A$2:$A$24,"NA",0,1)</f>
        <v>Trade Effects</v>
      </c>
      <c r="K22" s="3" t="str">
        <f>_xlfn.XLOOKUP(P22,Sheet1!$B$2:$B$24,Sheet1!$A$2:$A$24,"NA",0,1)</f>
        <v>Implementation &amp; Compliance</v>
      </c>
      <c r="L22" s="3" t="str">
        <f>_xlfn.XLOOKUP(Q22,Sheet1!$B$2:$B$24,Sheet1!$A$2:$A$24,"NA",0,1)</f>
        <v>Regulatory Design &amp; Methodology</v>
      </c>
      <c r="M22" s="3" t="str">
        <f>_xlfn.XLOOKUP(R22,Sheet1!$B$2:$B$24,Sheet1!$A$2:$A$24,"NA",0,1)</f>
        <v>Trade Effects</v>
      </c>
      <c r="N22" s="3" t="str">
        <f>_xlfn.XLOOKUP(S22,Sheet1!$B$2:$B$24,Sheet1!$A$2:$A$24,"NA",0,1)</f>
        <v>WTO &amp; Legal Concerns</v>
      </c>
      <c r="O22" s="5" t="s">
        <v>21</v>
      </c>
      <c r="P22" s="5" t="s">
        <v>22</v>
      </c>
      <c r="Q22" s="5" t="s">
        <v>41</v>
      </c>
      <c r="R22" s="5" t="s">
        <v>24</v>
      </c>
      <c r="S22" s="5" t="s">
        <v>18</v>
      </c>
    </row>
    <row r="23" spans="1:19" x14ac:dyDescent="0.25">
      <c r="A23" s="3" t="s">
        <v>11</v>
      </c>
      <c r="B23" s="4">
        <v>46085</v>
      </c>
      <c r="C23" s="3" t="s">
        <v>12</v>
      </c>
      <c r="D23" s="3" t="s">
        <v>143</v>
      </c>
      <c r="E23" s="5" t="s">
        <v>43</v>
      </c>
      <c r="F23" s="3" t="s">
        <v>42</v>
      </c>
      <c r="G23" s="5" t="s">
        <v>102</v>
      </c>
      <c r="H23" s="5" t="s">
        <v>16</v>
      </c>
      <c r="I23" s="5" t="s">
        <v>17</v>
      </c>
      <c r="J23" s="3" t="str">
        <f>_xlfn.XLOOKUP(O23,Sheet1!$B$2:$B$24,Sheet1!$A$2:$A$24,"NA",0,1)</f>
        <v>Implementation &amp; Compliance</v>
      </c>
      <c r="K23" s="3" t="str">
        <f>_xlfn.XLOOKUP(P23,Sheet1!$B$2:$B$24,Sheet1!$A$2:$A$24,"NA",0,1)</f>
        <v>Implementation &amp; Compliance</v>
      </c>
      <c r="L23" s="3" t="str">
        <f>_xlfn.XLOOKUP(Q23,Sheet1!$B$2:$B$24,Sheet1!$A$2:$A$24,"NA",0,1)</f>
        <v>Development &amp; Equity Concerns</v>
      </c>
      <c r="M23" s="3" t="str">
        <f>_xlfn.XLOOKUP(R23,Sheet1!$B$2:$B$24,Sheet1!$A$2:$A$24,"NA",0,1)</f>
        <v>Regulatory Design &amp; Methodology</v>
      </c>
      <c r="N23" s="3" t="str">
        <f>_xlfn.XLOOKUP(S23,Sheet1!$B$2:$B$24,Sheet1!$A$2:$A$24,"NA",0,1)</f>
        <v>Trade Effects</v>
      </c>
      <c r="O23" s="5" t="s">
        <v>22</v>
      </c>
      <c r="P23" s="5" t="s">
        <v>35</v>
      </c>
      <c r="Q23" s="5" t="s">
        <v>46</v>
      </c>
      <c r="R23" s="5" t="s">
        <v>41</v>
      </c>
      <c r="S23" s="5" t="s">
        <v>21</v>
      </c>
    </row>
    <row r="24" spans="1:19" x14ac:dyDescent="0.25">
      <c r="A24" s="3" t="s">
        <v>11</v>
      </c>
      <c r="B24" s="4">
        <v>46085</v>
      </c>
      <c r="C24" s="3" t="s">
        <v>12</v>
      </c>
      <c r="D24" s="3" t="s">
        <v>143</v>
      </c>
      <c r="E24" s="5" t="s">
        <v>43</v>
      </c>
      <c r="F24" s="3" t="s">
        <v>42</v>
      </c>
      <c r="G24" s="5" t="s">
        <v>105</v>
      </c>
      <c r="H24" s="5" t="s">
        <v>16</v>
      </c>
      <c r="I24" s="5" t="s">
        <v>17</v>
      </c>
      <c r="J24" s="3" t="str">
        <f>_xlfn.XLOOKUP(O24,Sheet1!$B$2:$B$24,Sheet1!$A$2:$A$24,"NA",0,1)</f>
        <v>Implementation &amp; Compliance</v>
      </c>
      <c r="K24" s="3" t="str">
        <f>_xlfn.XLOOKUP(P24,Sheet1!$B$2:$B$24,Sheet1!$A$2:$A$24,"NA",0,1)</f>
        <v>Regulatory Design &amp; Methodology</v>
      </c>
      <c r="L24" s="3" t="str">
        <f>_xlfn.XLOOKUP(Q24,Sheet1!$B$2:$B$24,Sheet1!$A$2:$A$24,"NA",0,1)</f>
        <v>Regulatory Design &amp; Methodology</v>
      </c>
      <c r="M24" s="3" t="str">
        <f>_xlfn.XLOOKUP(R24,Sheet1!$B$2:$B$24,Sheet1!$A$2:$A$24,"NA",0,1)</f>
        <v>Development &amp; Equity Concerns</v>
      </c>
      <c r="N24" s="3" t="str">
        <f>_xlfn.XLOOKUP(S24,Sheet1!$B$2:$B$24,Sheet1!$A$2:$A$24,"NA",0,1)</f>
        <v>Implementation &amp; Compliance</v>
      </c>
      <c r="O24" s="5" t="s">
        <v>22</v>
      </c>
      <c r="P24" s="5" t="s">
        <v>44</v>
      </c>
      <c r="Q24" s="5" t="s">
        <v>41</v>
      </c>
      <c r="R24" s="5" t="s">
        <v>19</v>
      </c>
      <c r="S24" s="5" t="s">
        <v>35</v>
      </c>
    </row>
    <row r="25" spans="1:19" x14ac:dyDescent="0.25">
      <c r="A25" s="3" t="s">
        <v>11</v>
      </c>
      <c r="B25" s="4">
        <v>46085</v>
      </c>
      <c r="C25" s="3" t="s">
        <v>12</v>
      </c>
      <c r="D25" s="3" t="s">
        <v>143</v>
      </c>
      <c r="E25" s="5" t="s">
        <v>43</v>
      </c>
      <c r="F25" s="3" t="s">
        <v>42</v>
      </c>
      <c r="G25" s="5" t="s">
        <v>106</v>
      </c>
      <c r="H25" s="5" t="s">
        <v>16</v>
      </c>
      <c r="I25" s="5" t="s">
        <v>17</v>
      </c>
      <c r="J25" s="3" t="str">
        <f>_xlfn.XLOOKUP(O25,Sheet1!$B$2:$B$24,Sheet1!$A$2:$A$24,"NA",0,1)</f>
        <v>Trade Effects</v>
      </c>
      <c r="K25" s="3" t="str">
        <f>_xlfn.XLOOKUP(P25,Sheet1!$B$2:$B$24,Sheet1!$A$2:$A$24,"NA",0,1)</f>
        <v>Trade Effects</v>
      </c>
      <c r="L25" s="3" t="str">
        <f>_xlfn.XLOOKUP(Q25,Sheet1!$B$2:$B$24,Sheet1!$A$2:$A$24,"NA",0,1)</f>
        <v>Implementation &amp; Compliance</v>
      </c>
      <c r="M25" s="3" t="str">
        <f>_xlfn.XLOOKUP(R25,Sheet1!$B$2:$B$24,Sheet1!$A$2:$A$24,"NA",0,1)</f>
        <v>Implementation &amp; Compliance</v>
      </c>
      <c r="N25" s="3" t="str">
        <f>_xlfn.XLOOKUP(S25,Sheet1!$B$2:$B$24,Sheet1!$A$2:$A$24,"NA",0,1)</f>
        <v>WTO &amp; Legal Concerns</v>
      </c>
      <c r="O25" s="5" t="s">
        <v>21</v>
      </c>
      <c r="P25" s="5" t="s">
        <v>24</v>
      </c>
      <c r="Q25" s="5" t="s">
        <v>22</v>
      </c>
      <c r="R25" s="5" t="s">
        <v>47</v>
      </c>
      <c r="S25" s="5" t="s">
        <v>18</v>
      </c>
    </row>
    <row r="26" spans="1:19" x14ac:dyDescent="0.25">
      <c r="A26" s="3" t="s">
        <v>11</v>
      </c>
      <c r="B26" s="4">
        <v>46085</v>
      </c>
      <c r="C26" s="3" t="s">
        <v>12</v>
      </c>
      <c r="D26" s="3" t="s">
        <v>143</v>
      </c>
      <c r="E26" s="5" t="s">
        <v>43</v>
      </c>
      <c r="F26" s="3" t="s">
        <v>42</v>
      </c>
      <c r="G26" s="5" t="s">
        <v>51</v>
      </c>
      <c r="H26" s="5" t="s">
        <v>16</v>
      </c>
      <c r="I26" s="5" t="s">
        <v>17</v>
      </c>
      <c r="J26" s="3" t="str">
        <f>_xlfn.XLOOKUP(O26,Sheet1!$B$2:$B$24,Sheet1!$A$2:$A$24,"NA",0,1)</f>
        <v>Implementation &amp; Compliance</v>
      </c>
      <c r="K26" s="3" t="str">
        <f>_xlfn.XLOOKUP(P26,Sheet1!$B$2:$B$24,Sheet1!$A$2:$A$24,"NA",0,1)</f>
        <v>Implementation &amp; Compliance</v>
      </c>
      <c r="L26" s="3" t="str">
        <f>_xlfn.XLOOKUP(Q26,Sheet1!$B$2:$B$24,Sheet1!$A$2:$A$24,"NA",0,1)</f>
        <v>Trade Effects</v>
      </c>
      <c r="M26" s="3" t="str">
        <f>_xlfn.XLOOKUP(R26,Sheet1!$B$2:$B$24,Sheet1!$A$2:$A$24,"NA",0,1)</f>
        <v>Regulatory Design &amp; Methodology</v>
      </c>
      <c r="N26" s="3" t="str">
        <f>_xlfn.XLOOKUP(S26,Sheet1!$B$2:$B$24,Sheet1!$A$2:$A$24,"NA",0,1)</f>
        <v>Trade Effects</v>
      </c>
      <c r="O26" s="5" t="s">
        <v>22</v>
      </c>
      <c r="P26" s="5" t="s">
        <v>47</v>
      </c>
      <c r="Q26" s="5" t="s">
        <v>24</v>
      </c>
      <c r="R26" s="5" t="s">
        <v>41</v>
      </c>
      <c r="S26" s="5" t="s">
        <v>21</v>
      </c>
    </row>
    <row r="27" spans="1:19" x14ac:dyDescent="0.25">
      <c r="A27" s="3" t="s">
        <v>11</v>
      </c>
      <c r="B27" s="4">
        <v>46085</v>
      </c>
      <c r="C27" s="3" t="s">
        <v>12</v>
      </c>
      <c r="D27" s="3" t="s">
        <v>143</v>
      </c>
      <c r="E27" s="5" t="s">
        <v>14</v>
      </c>
      <c r="F27" s="3" t="s">
        <v>107</v>
      </c>
      <c r="G27" s="5" t="s">
        <v>63</v>
      </c>
      <c r="H27" s="5" t="s">
        <v>16</v>
      </c>
      <c r="I27" s="5" t="s">
        <v>17</v>
      </c>
      <c r="J27" s="3" t="str">
        <f>_xlfn.XLOOKUP(O27,Sheet1!$B$2:$B$24,Sheet1!$A$2:$A$24,"NA",0,1)</f>
        <v>WTO &amp; Legal Concerns</v>
      </c>
      <c r="K27" s="3" t="str">
        <f>_xlfn.XLOOKUP(P27,Sheet1!$B$2:$B$24,Sheet1!$A$2:$A$24,"NA",0,1)</f>
        <v>Governance &amp; Regulatory Fragmentation</v>
      </c>
      <c r="L27" s="3" t="str">
        <f>_xlfn.XLOOKUP(Q27,Sheet1!$B$2:$B$24,Sheet1!$A$2:$A$24,"NA",0,1)</f>
        <v>Trade Effects</v>
      </c>
      <c r="M27" s="3" t="str">
        <f>_xlfn.XLOOKUP(R27,Sheet1!$B$2:$B$24,Sheet1!$A$2:$A$24,"NA",0,1)</f>
        <v>WTO &amp; Legal Concerns</v>
      </c>
      <c r="N27" s="3" t="str">
        <f>_xlfn.XLOOKUP(S27,Sheet1!$B$2:$B$24,Sheet1!$A$2:$A$24,"NA",0,1)</f>
        <v>Implementation &amp; Compliance</v>
      </c>
      <c r="O27" s="5" t="s">
        <v>18</v>
      </c>
      <c r="P27" s="5" t="s">
        <v>38</v>
      </c>
      <c r="Q27" s="5" t="s">
        <v>21</v>
      </c>
      <c r="R27" s="5" t="s">
        <v>28</v>
      </c>
      <c r="S27" s="5" t="s">
        <v>22</v>
      </c>
    </row>
    <row r="28" spans="1:19" x14ac:dyDescent="0.25">
      <c r="A28" s="3" t="s">
        <v>11</v>
      </c>
      <c r="B28" s="4">
        <v>46085</v>
      </c>
      <c r="C28" s="3" t="s">
        <v>12</v>
      </c>
      <c r="D28" s="3" t="s">
        <v>143</v>
      </c>
      <c r="E28" s="5" t="s">
        <v>43</v>
      </c>
      <c r="F28" s="3" t="s">
        <v>107</v>
      </c>
      <c r="G28" s="5" t="s">
        <v>63</v>
      </c>
      <c r="H28" s="5" t="s">
        <v>16</v>
      </c>
      <c r="I28" s="5" t="s">
        <v>17</v>
      </c>
      <c r="J28" s="3" t="str">
        <f>_xlfn.XLOOKUP(O28,Sheet1!$B$2:$B$24,Sheet1!$A$2:$A$24,"NA",0,1)</f>
        <v>WTO &amp; Legal Concerns</v>
      </c>
      <c r="K28" s="3" t="str">
        <f>_xlfn.XLOOKUP(P28,Sheet1!$B$2:$B$24,Sheet1!$A$2:$A$24,"NA",0,1)</f>
        <v>Governance &amp; Regulatory Fragmentation</v>
      </c>
      <c r="L28" s="3" t="str">
        <f>_xlfn.XLOOKUP(Q28,Sheet1!$B$2:$B$24,Sheet1!$A$2:$A$24,"NA",0,1)</f>
        <v>Trade Effects</v>
      </c>
      <c r="M28" s="3" t="str">
        <f>_xlfn.XLOOKUP(R28,Sheet1!$B$2:$B$24,Sheet1!$A$2:$A$24,"NA",0,1)</f>
        <v>WTO &amp; Legal Concerns</v>
      </c>
      <c r="N28" s="3" t="str">
        <f>_xlfn.XLOOKUP(S28,Sheet1!$B$2:$B$24,Sheet1!$A$2:$A$24,"NA",0,1)</f>
        <v>Implementation &amp; Compliance</v>
      </c>
      <c r="O28" s="5" t="s">
        <v>18</v>
      </c>
      <c r="P28" s="5" t="s">
        <v>38</v>
      </c>
      <c r="Q28" s="5" t="s">
        <v>21</v>
      </c>
      <c r="R28" s="5" t="s">
        <v>28</v>
      </c>
      <c r="S28" s="5" t="s">
        <v>22</v>
      </c>
    </row>
    <row r="29" spans="1:19" x14ac:dyDescent="0.25">
      <c r="A29" s="3" t="s">
        <v>11</v>
      </c>
      <c r="B29" s="4">
        <v>46085</v>
      </c>
      <c r="C29" s="3" t="s">
        <v>12</v>
      </c>
      <c r="D29" s="3" t="s">
        <v>143</v>
      </c>
      <c r="E29" s="5" t="s">
        <v>14</v>
      </c>
      <c r="F29" s="3" t="s">
        <v>107</v>
      </c>
      <c r="G29" s="5" t="s">
        <v>63</v>
      </c>
      <c r="H29" s="5" t="s">
        <v>16</v>
      </c>
      <c r="I29" s="5" t="s">
        <v>17</v>
      </c>
      <c r="J29" s="3" t="str">
        <f>_xlfn.XLOOKUP(O29,Sheet1!$B$2:$B$24,Sheet1!$A$2:$A$24,"NA",0,1)</f>
        <v>WTO &amp; Legal Concerns</v>
      </c>
      <c r="K29" s="3" t="str">
        <f>_xlfn.XLOOKUP(P29,Sheet1!$B$2:$B$24,Sheet1!$A$2:$A$24,"NA",0,1)</f>
        <v>Implementation &amp; Compliance</v>
      </c>
      <c r="L29" s="3" t="str">
        <f>_xlfn.XLOOKUP(Q29,Sheet1!$B$2:$B$24,Sheet1!$A$2:$A$24,"NA",0,1)</f>
        <v>Governance &amp; Regulatory Fragmentation</v>
      </c>
      <c r="M29" s="3" t="str">
        <f>_xlfn.XLOOKUP(R29,Sheet1!$B$2:$B$24,Sheet1!$A$2:$A$24,"NA",0,1)</f>
        <v>Trade Effects</v>
      </c>
      <c r="N29" s="3" t="str">
        <f>_xlfn.XLOOKUP(S29,Sheet1!$B$2:$B$24,Sheet1!$A$2:$A$24,"NA",0,1)</f>
        <v>Regulatory Design &amp; Methodology</v>
      </c>
      <c r="O29" s="5" t="s">
        <v>18</v>
      </c>
      <c r="P29" s="5" t="s">
        <v>22</v>
      </c>
      <c r="Q29" s="5" t="s">
        <v>38</v>
      </c>
      <c r="R29" s="5" t="s">
        <v>21</v>
      </c>
      <c r="S29" s="5" t="s">
        <v>41</v>
      </c>
    </row>
    <row r="30" spans="1:19" x14ac:dyDescent="0.25">
      <c r="A30" s="3" t="s">
        <v>11</v>
      </c>
      <c r="B30" s="4">
        <v>46085</v>
      </c>
      <c r="C30" s="3" t="s">
        <v>12</v>
      </c>
      <c r="D30" s="3" t="s">
        <v>143</v>
      </c>
      <c r="E30" s="5" t="s">
        <v>91</v>
      </c>
      <c r="F30" s="3" t="s">
        <v>107</v>
      </c>
      <c r="G30" s="5" t="s">
        <v>63</v>
      </c>
      <c r="H30" s="5" t="s">
        <v>16</v>
      </c>
      <c r="I30" s="5" t="s">
        <v>17</v>
      </c>
      <c r="J30" s="3" t="str">
        <f>_xlfn.XLOOKUP(O30,Sheet1!$B$2:$B$24,Sheet1!$A$2:$A$24,"NA",0,1)</f>
        <v>Implementation &amp; Compliance</v>
      </c>
      <c r="K30" s="3" t="str">
        <f>_xlfn.XLOOKUP(P30,Sheet1!$B$2:$B$24,Sheet1!$A$2:$A$24,"NA",0,1)</f>
        <v>Governance &amp; Regulatory Fragmentation</v>
      </c>
      <c r="L30" s="3" t="str">
        <f>_xlfn.XLOOKUP(Q30,Sheet1!$B$2:$B$24,Sheet1!$A$2:$A$24,"NA",0,1)</f>
        <v>Trade Effects</v>
      </c>
      <c r="M30" s="3" t="str">
        <f>_xlfn.XLOOKUP(R30,Sheet1!$B$2:$B$24,Sheet1!$A$2:$A$24,"NA",0,1)</f>
        <v>WTO &amp; Legal Concerns</v>
      </c>
      <c r="N30" s="3" t="str">
        <f>_xlfn.XLOOKUP(S30,Sheet1!$B$2:$B$24,Sheet1!$A$2:$A$24,"NA",0,1)</f>
        <v>Regulatory Design &amp; Methodology</v>
      </c>
      <c r="O30" s="5" t="s">
        <v>22</v>
      </c>
      <c r="P30" s="5" t="s">
        <v>38</v>
      </c>
      <c r="Q30" s="5" t="s">
        <v>21</v>
      </c>
      <c r="R30" s="5" t="s">
        <v>18</v>
      </c>
      <c r="S30" s="5" t="s">
        <v>41</v>
      </c>
    </row>
    <row r="31" spans="1:19" x14ac:dyDescent="0.25">
      <c r="A31" s="3" t="s">
        <v>11</v>
      </c>
      <c r="B31" s="4">
        <v>46085</v>
      </c>
      <c r="C31" s="3" t="s">
        <v>12</v>
      </c>
      <c r="D31" s="3" t="s">
        <v>143</v>
      </c>
      <c r="E31" s="5" t="s">
        <v>108</v>
      </c>
      <c r="F31" s="3" t="s">
        <v>107</v>
      </c>
      <c r="G31" s="5" t="s">
        <v>63</v>
      </c>
      <c r="H31" s="5" t="s">
        <v>16</v>
      </c>
      <c r="I31" s="5" t="s">
        <v>17</v>
      </c>
      <c r="J31" s="3" t="str">
        <f>_xlfn.XLOOKUP(O31,Sheet1!$B$2:$B$24,Sheet1!$A$2:$A$24,"NA",0,1)</f>
        <v>Implementation &amp; Compliance</v>
      </c>
      <c r="K31" s="3" t="str">
        <f>_xlfn.XLOOKUP(P31,Sheet1!$B$2:$B$24,Sheet1!$A$2:$A$24,"NA",0,1)</f>
        <v>Trade Effects</v>
      </c>
      <c r="L31" s="3" t="str">
        <f>_xlfn.XLOOKUP(Q31,Sheet1!$B$2:$B$24,Sheet1!$A$2:$A$24,"NA",0,1)</f>
        <v>WTO &amp; Legal Concerns</v>
      </c>
      <c r="M31" s="3" t="str">
        <f>_xlfn.XLOOKUP(R31,Sheet1!$B$2:$B$24,Sheet1!$A$2:$A$24,"NA",0,1)</f>
        <v>Governance &amp; Regulatory Fragmentation</v>
      </c>
      <c r="N31" s="3" t="str">
        <f>_xlfn.XLOOKUP(S31,Sheet1!$B$2:$B$24,Sheet1!$A$2:$A$24,"NA",0,1)</f>
        <v>Regulatory Design &amp; Methodology</v>
      </c>
      <c r="O31" s="5" t="s">
        <v>22</v>
      </c>
      <c r="P31" s="5" t="s">
        <v>21</v>
      </c>
      <c r="Q31" s="5" t="s">
        <v>18</v>
      </c>
      <c r="R31" s="5" t="s">
        <v>38</v>
      </c>
      <c r="S31" s="5" t="s">
        <v>41</v>
      </c>
    </row>
    <row r="32" spans="1:19" x14ac:dyDescent="0.25">
      <c r="A32" s="3" t="s">
        <v>11</v>
      </c>
      <c r="B32" s="4">
        <v>46085</v>
      </c>
      <c r="C32" s="3" t="s">
        <v>12</v>
      </c>
      <c r="D32" s="3" t="s">
        <v>143</v>
      </c>
      <c r="E32" s="5" t="s">
        <v>53</v>
      </c>
      <c r="F32" s="3" t="s">
        <v>107</v>
      </c>
      <c r="G32" s="5" t="s">
        <v>63</v>
      </c>
      <c r="H32" s="5" t="s">
        <v>16</v>
      </c>
      <c r="I32" s="5" t="s">
        <v>17</v>
      </c>
      <c r="J32" s="3" t="str">
        <f>_xlfn.XLOOKUP(O32,Sheet1!$B$2:$B$24,Sheet1!$A$2:$A$24,"NA",0,1)</f>
        <v>WTO &amp; Legal Concerns</v>
      </c>
      <c r="K32" s="3" t="str">
        <f>_xlfn.XLOOKUP(P32,Sheet1!$B$2:$B$24,Sheet1!$A$2:$A$24,"NA",0,1)</f>
        <v>Trade Effects</v>
      </c>
      <c r="L32" s="3" t="str">
        <f>_xlfn.XLOOKUP(Q32,Sheet1!$B$2:$B$24,Sheet1!$A$2:$A$24,"NA",0,1)</f>
        <v>Governance &amp; Regulatory Fragmentation</v>
      </c>
      <c r="M32" s="3" t="str">
        <f>_xlfn.XLOOKUP(R32,Sheet1!$B$2:$B$24,Sheet1!$A$2:$A$24,"NA",0,1)</f>
        <v>Trade Effects</v>
      </c>
      <c r="N32" s="3" t="str">
        <f>_xlfn.XLOOKUP(S32,Sheet1!$B$2:$B$24,Sheet1!$A$2:$A$24,"NA",0,1)</f>
        <v>Regulatory Design &amp; Methodology</v>
      </c>
      <c r="O32" s="5" t="s">
        <v>18</v>
      </c>
      <c r="P32" s="5" t="s">
        <v>21</v>
      </c>
      <c r="Q32" s="5" t="s">
        <v>38</v>
      </c>
      <c r="R32" s="5" t="s">
        <v>24</v>
      </c>
      <c r="S32" s="5" t="s">
        <v>41</v>
      </c>
    </row>
    <row r="33" spans="1:19" x14ac:dyDescent="0.25">
      <c r="A33" s="3" t="s">
        <v>11</v>
      </c>
      <c r="B33" s="4">
        <v>46085</v>
      </c>
      <c r="C33" s="3" t="s">
        <v>12</v>
      </c>
      <c r="D33" s="3" t="s">
        <v>143</v>
      </c>
      <c r="E33" s="3" t="s">
        <v>53</v>
      </c>
      <c r="F33" s="3" t="s">
        <v>52</v>
      </c>
      <c r="G33" s="3" t="s">
        <v>50</v>
      </c>
      <c r="H33" s="3" t="s">
        <v>16</v>
      </c>
      <c r="I33" s="3" t="s">
        <v>17</v>
      </c>
      <c r="J33" s="3" t="str">
        <f>_xlfn.XLOOKUP(O33,Sheet1!$B$2:$B$24,Sheet1!$A$2:$A$24,"NA",0,1)</f>
        <v>Trade Effects</v>
      </c>
      <c r="K33" s="3" t="str">
        <f>_xlfn.XLOOKUP(P33,Sheet1!$B$2:$B$24,Sheet1!$A$2:$A$24,"NA",0,1)</f>
        <v>Regulatory Design &amp; Methodology</v>
      </c>
      <c r="L33" s="3" t="str">
        <f>_xlfn.XLOOKUP(Q33,Sheet1!$B$2:$B$24,Sheet1!$A$2:$A$24,"NA",0,1)</f>
        <v>Implementation &amp; Compliance</v>
      </c>
      <c r="M33" s="3" t="str">
        <f>_xlfn.XLOOKUP(R33,Sheet1!$B$2:$B$24,Sheet1!$A$2:$A$24,"NA",0,1)</f>
        <v>WTO &amp; Legal Concerns</v>
      </c>
      <c r="N33" s="3" t="str">
        <f>_xlfn.XLOOKUP(S33,Sheet1!$B$2:$B$24,Sheet1!$A$2:$A$24,"NA",0,1)</f>
        <v>WTO &amp; Legal Concerns</v>
      </c>
      <c r="O33" s="3" t="s">
        <v>21</v>
      </c>
      <c r="P33" s="3" t="s">
        <v>41</v>
      </c>
      <c r="Q33" s="3" t="s">
        <v>22</v>
      </c>
      <c r="R33" s="3" t="s">
        <v>18</v>
      </c>
      <c r="S33" s="3" t="s">
        <v>25</v>
      </c>
    </row>
    <row r="34" spans="1:19" x14ac:dyDescent="0.25">
      <c r="A34" s="3" t="s">
        <v>11</v>
      </c>
      <c r="B34" s="4">
        <v>46085</v>
      </c>
      <c r="C34" s="3" t="s">
        <v>12</v>
      </c>
      <c r="D34" s="3" t="s">
        <v>143</v>
      </c>
      <c r="E34" s="3" t="s">
        <v>53</v>
      </c>
      <c r="F34" s="3" t="s">
        <v>52</v>
      </c>
      <c r="G34" s="3" t="s">
        <v>39</v>
      </c>
      <c r="H34" s="3" t="s">
        <v>16</v>
      </c>
      <c r="I34" s="3" t="s">
        <v>17</v>
      </c>
      <c r="J34" s="3" t="str">
        <f>_xlfn.XLOOKUP(O34,Sheet1!$B$2:$B$24,Sheet1!$A$2:$A$24,"NA",0,1)</f>
        <v>Trade Effects</v>
      </c>
      <c r="K34" s="3" t="str">
        <f>_xlfn.XLOOKUP(P34,Sheet1!$B$2:$B$24,Sheet1!$A$2:$A$24,"NA",0,1)</f>
        <v>WTO &amp; Legal Concerns</v>
      </c>
      <c r="L34" s="3" t="str">
        <f>_xlfn.XLOOKUP(Q34,Sheet1!$B$2:$B$24,Sheet1!$A$2:$A$24,"NA",0,1)</f>
        <v>Trade Effects</v>
      </c>
      <c r="M34" s="3" t="str">
        <f>_xlfn.XLOOKUP(R34,Sheet1!$B$2:$B$24,Sheet1!$A$2:$A$24,"NA",0,1)</f>
        <v>Regulatory Design &amp; Methodology</v>
      </c>
      <c r="N34" s="3" t="str">
        <f>_xlfn.XLOOKUP(S34,Sheet1!$B$2:$B$24,Sheet1!$A$2:$A$24,"NA",0,1)</f>
        <v>Trade Effects</v>
      </c>
      <c r="O34" s="3" t="s">
        <v>24</v>
      </c>
      <c r="P34" s="3" t="s">
        <v>18</v>
      </c>
      <c r="Q34" s="3" t="s">
        <v>21</v>
      </c>
      <c r="R34" s="3" t="s">
        <v>41</v>
      </c>
      <c r="S34" s="3" t="s">
        <v>57</v>
      </c>
    </row>
    <row r="35" spans="1:19" x14ac:dyDescent="0.25">
      <c r="A35" s="3" t="s">
        <v>11</v>
      </c>
      <c r="B35" s="4">
        <v>46085</v>
      </c>
      <c r="C35" s="3" t="s">
        <v>12</v>
      </c>
      <c r="D35" s="3" t="s">
        <v>143</v>
      </c>
      <c r="E35" s="3" t="s">
        <v>53</v>
      </c>
      <c r="F35" s="3" t="s">
        <v>55</v>
      </c>
      <c r="G35" s="3" t="s">
        <v>40</v>
      </c>
      <c r="H35" s="3" t="s">
        <v>16</v>
      </c>
      <c r="I35" s="3" t="s">
        <v>17</v>
      </c>
      <c r="J35" s="3" t="str">
        <f>_xlfn.XLOOKUP(O35,Sheet1!$B$2:$B$24,Sheet1!$A$2:$A$24,"NA",0,1)</f>
        <v>Trade Effects</v>
      </c>
      <c r="K35" s="3" t="str">
        <f>_xlfn.XLOOKUP(P35,Sheet1!$B$2:$B$24,Sheet1!$A$2:$A$24,"NA",0,1)</f>
        <v>WTO &amp; Legal Concerns</v>
      </c>
      <c r="L35" s="3" t="str">
        <f>_xlfn.XLOOKUP(Q35,Sheet1!$B$2:$B$24,Sheet1!$A$2:$A$24,"NA",0,1)</f>
        <v>WTO &amp; Legal Concerns</v>
      </c>
      <c r="M35" s="3" t="str">
        <f>_xlfn.XLOOKUP(R35,Sheet1!$B$2:$B$24,Sheet1!$A$2:$A$24,"NA",0,1)</f>
        <v>Trade Effects</v>
      </c>
      <c r="N35" s="3" t="str">
        <f>_xlfn.XLOOKUP(S35,Sheet1!$B$2:$B$24,Sheet1!$A$2:$A$24,"NA",0,1)</f>
        <v>Regulatory Design &amp; Methodology</v>
      </c>
      <c r="O35" s="3" t="s">
        <v>24</v>
      </c>
      <c r="P35" s="3" t="s">
        <v>56</v>
      </c>
      <c r="Q35" s="3" t="s">
        <v>18</v>
      </c>
      <c r="R35" s="3" t="s">
        <v>57</v>
      </c>
      <c r="S35" s="3" t="s">
        <v>58</v>
      </c>
    </row>
    <row r="36" spans="1:19" x14ac:dyDescent="0.25">
      <c r="A36" s="3" t="s">
        <v>11</v>
      </c>
      <c r="B36" s="4">
        <v>46085</v>
      </c>
      <c r="C36" s="3" t="s">
        <v>12</v>
      </c>
      <c r="D36" s="3" t="s">
        <v>143</v>
      </c>
      <c r="E36" s="3" t="s">
        <v>53</v>
      </c>
      <c r="F36" s="3" t="s">
        <v>55</v>
      </c>
      <c r="G36" s="3" t="s">
        <v>39</v>
      </c>
      <c r="H36" s="3" t="s">
        <v>16</v>
      </c>
      <c r="I36" s="3" t="s">
        <v>33</v>
      </c>
      <c r="J36" s="3" t="str">
        <f>_xlfn.XLOOKUP(O36,Sheet1!$B$2:$B$24,Sheet1!$A$2:$A$24,"NA",0,1)</f>
        <v>WTO &amp; Legal Concerns</v>
      </c>
      <c r="K36" s="3" t="str">
        <f>_xlfn.XLOOKUP(P36,Sheet1!$B$2:$B$24,Sheet1!$A$2:$A$24,"NA",0,1)</f>
        <v>WTO &amp; Legal Concerns</v>
      </c>
      <c r="L36" s="3" t="str">
        <f>_xlfn.XLOOKUP(Q36,Sheet1!$B$2:$B$24,Sheet1!$A$2:$A$24,"NA",0,1)</f>
        <v>Trade Effects</v>
      </c>
      <c r="M36" s="3" t="str">
        <f>_xlfn.XLOOKUP(R36,Sheet1!$B$2:$B$24,Sheet1!$A$2:$A$24,"NA",0,1)</f>
        <v>NA</v>
      </c>
      <c r="N36" s="3" t="str">
        <f>_xlfn.XLOOKUP(S36,Sheet1!$B$2:$B$24,Sheet1!$A$2:$A$24,"NA",0,1)</f>
        <v>NA</v>
      </c>
      <c r="O36" s="3" t="s">
        <v>56</v>
      </c>
      <c r="P36" s="3" t="s">
        <v>18</v>
      </c>
      <c r="Q36" s="3" t="s">
        <v>24</v>
      </c>
    </row>
    <row r="37" spans="1:19" x14ac:dyDescent="0.25">
      <c r="A37" s="3" t="s">
        <v>59</v>
      </c>
      <c r="B37" s="4">
        <v>46031</v>
      </c>
      <c r="C37" s="3" t="s">
        <v>60</v>
      </c>
      <c r="D37" s="3" t="s">
        <v>142</v>
      </c>
      <c r="E37" s="3" t="s">
        <v>14</v>
      </c>
      <c r="F37" s="3" t="s">
        <v>61</v>
      </c>
      <c r="G37" s="3" t="s">
        <v>23</v>
      </c>
      <c r="H37" s="3" t="s">
        <v>62</v>
      </c>
      <c r="I37" s="3" t="s">
        <v>33</v>
      </c>
      <c r="J37" s="3" t="str">
        <f>_xlfn.XLOOKUP(O37,Sheet1!$B$2:$B$24,Sheet1!$A$2:$A$24,"NA",0,1)</f>
        <v>Regulatory Design &amp; Methodology</v>
      </c>
      <c r="K37" s="3" t="str">
        <f>_xlfn.XLOOKUP(P37,Sheet1!$B$2:$B$24,Sheet1!$A$2:$A$24,"NA",0,1)</f>
        <v>Implementation &amp; Compliance</v>
      </c>
      <c r="L37" s="3" t="str">
        <f>_xlfn.XLOOKUP(Q37,Sheet1!$B$2:$B$24,Sheet1!$A$2:$A$24,"NA",0,1)</f>
        <v>Regulatory Design &amp; Methodology</v>
      </c>
      <c r="M37" s="3" t="str">
        <f>_xlfn.XLOOKUP(R37,Sheet1!$B$2:$B$24,Sheet1!$A$2:$A$24,"NA",0,1)</f>
        <v>WTO &amp; Legal Concerns</v>
      </c>
      <c r="N37" s="3" t="str">
        <f>_xlfn.XLOOKUP(S37,Sheet1!$B$2:$B$24,Sheet1!$A$2:$A$24,"NA",0,1)</f>
        <v>Implementation &amp; Compliance</v>
      </c>
      <c r="O37" s="3" t="s">
        <v>34</v>
      </c>
      <c r="P37" s="3" t="s">
        <v>22</v>
      </c>
      <c r="Q37" s="3" t="s">
        <v>30</v>
      </c>
      <c r="R37" s="3" t="s">
        <v>25</v>
      </c>
      <c r="S37" s="3" t="s">
        <v>35</v>
      </c>
    </row>
    <row r="38" spans="1:19" x14ac:dyDescent="0.25">
      <c r="A38" s="3" t="s">
        <v>59</v>
      </c>
      <c r="B38" s="4">
        <v>46031</v>
      </c>
      <c r="C38" s="3" t="s">
        <v>60</v>
      </c>
      <c r="D38" s="3" t="s">
        <v>142</v>
      </c>
      <c r="E38" s="3" t="s">
        <v>14</v>
      </c>
      <c r="F38" s="3" t="s">
        <v>61</v>
      </c>
      <c r="G38" s="3" t="s">
        <v>63</v>
      </c>
      <c r="H38" s="3" t="s">
        <v>16</v>
      </c>
      <c r="I38" s="3" t="s">
        <v>17</v>
      </c>
      <c r="J38" s="3" t="str">
        <f>_xlfn.XLOOKUP(O38,Sheet1!$B$2:$B$24,Sheet1!$A$2:$A$24,"NA",0,1)</f>
        <v>WTO &amp; Legal Concerns</v>
      </c>
      <c r="K38" s="3" t="str">
        <f>_xlfn.XLOOKUP(P38,Sheet1!$B$2:$B$24,Sheet1!$A$2:$A$24,"NA",0,1)</f>
        <v>Trade Effects</v>
      </c>
      <c r="L38" s="3" t="str">
        <f>_xlfn.XLOOKUP(Q38,Sheet1!$B$2:$B$24,Sheet1!$A$2:$A$24,"NA",0,1)</f>
        <v>Implementation &amp; Compliance</v>
      </c>
      <c r="M38" s="3" t="str">
        <f>_xlfn.XLOOKUP(R38,Sheet1!$B$2:$B$24,Sheet1!$A$2:$A$24,"NA",0,1)</f>
        <v>WTO &amp; Legal Concerns</v>
      </c>
      <c r="N38" s="3" t="str">
        <f>_xlfn.XLOOKUP(S38,Sheet1!$B$2:$B$24,Sheet1!$A$2:$A$24,"NA",0,1)</f>
        <v>Regulatory Design &amp; Methodology</v>
      </c>
      <c r="O38" s="3" t="s">
        <v>18</v>
      </c>
      <c r="P38" s="3" t="s">
        <v>21</v>
      </c>
      <c r="Q38" s="3" t="s">
        <v>22</v>
      </c>
      <c r="R38" s="3" t="s">
        <v>25</v>
      </c>
      <c r="S38" s="3" t="s">
        <v>41</v>
      </c>
    </row>
    <row r="39" spans="1:19" x14ac:dyDescent="0.25">
      <c r="A39" s="3" t="s">
        <v>59</v>
      </c>
      <c r="B39" s="4">
        <v>46031</v>
      </c>
      <c r="C39" s="3" t="s">
        <v>60</v>
      </c>
      <c r="D39" s="3" t="s">
        <v>142</v>
      </c>
      <c r="E39" s="3" t="s">
        <v>64</v>
      </c>
      <c r="F39" s="3" t="s">
        <v>65</v>
      </c>
      <c r="G39" s="3" t="s">
        <v>50</v>
      </c>
      <c r="H39" s="3" t="s">
        <v>16</v>
      </c>
      <c r="I39" s="3" t="s">
        <v>33</v>
      </c>
      <c r="J39" s="3" t="str">
        <f>_xlfn.XLOOKUP(O39,Sheet1!$B$2:$B$24,Sheet1!$A$2:$A$24,"NA",0,1)</f>
        <v>Regulatory Design &amp; Methodology</v>
      </c>
      <c r="K39" s="3" t="str">
        <f>_xlfn.XLOOKUP(P39,Sheet1!$B$2:$B$24,Sheet1!$A$2:$A$24,"NA",0,1)</f>
        <v>Implementation &amp; Compliance</v>
      </c>
      <c r="L39" s="3" t="str">
        <f>_xlfn.XLOOKUP(Q39,Sheet1!$B$2:$B$24,Sheet1!$A$2:$A$24,"NA",0,1)</f>
        <v>Regulatory Design &amp; Methodology</v>
      </c>
      <c r="M39" s="3" t="str">
        <f>_xlfn.XLOOKUP(R39,Sheet1!$B$2:$B$24,Sheet1!$A$2:$A$24,"NA",0,1)</f>
        <v>Implementation &amp; Compliance</v>
      </c>
      <c r="N39" s="3" t="str">
        <f>_xlfn.XLOOKUP(S39,Sheet1!$B$2:$B$24,Sheet1!$A$2:$A$24,"NA",0,1)</f>
        <v>Implementation &amp; Compliance</v>
      </c>
      <c r="O39" s="3" t="s">
        <v>41</v>
      </c>
      <c r="P39" s="3" t="s">
        <v>22</v>
      </c>
      <c r="Q39" s="3" t="s">
        <v>44</v>
      </c>
      <c r="R39" s="3" t="s">
        <v>47</v>
      </c>
      <c r="S39" s="3" t="s">
        <v>35</v>
      </c>
    </row>
    <row r="40" spans="1:19" x14ac:dyDescent="0.25">
      <c r="A40" s="3" t="s">
        <v>66</v>
      </c>
      <c r="B40" s="4">
        <v>46038</v>
      </c>
      <c r="C40" s="3" t="s">
        <v>67</v>
      </c>
      <c r="D40" s="3" t="s">
        <v>145</v>
      </c>
      <c r="E40" s="3" t="s">
        <v>64</v>
      </c>
      <c r="F40" s="3" t="s">
        <v>68</v>
      </c>
      <c r="G40" s="3" t="s">
        <v>69</v>
      </c>
      <c r="H40" s="3" t="s">
        <v>70</v>
      </c>
      <c r="I40" s="3" t="s">
        <v>71</v>
      </c>
      <c r="J40" s="3" t="str">
        <f>_xlfn.XLOOKUP(O40,Sheet1!$B$2:$B$24,Sheet1!$A$2:$A$24,"NA",0,1)</f>
        <v>NA</v>
      </c>
      <c r="K40" s="3" t="str">
        <f>_xlfn.XLOOKUP(P40,Sheet1!$B$2:$B$24,Sheet1!$A$2:$A$24,"NA",0,1)</f>
        <v>NA</v>
      </c>
      <c r="L40" s="3" t="str">
        <f>_xlfn.XLOOKUP(Q40,Sheet1!$B$2:$B$24,Sheet1!$A$2:$A$24,"NA",0,1)</f>
        <v>NA</v>
      </c>
      <c r="M40" s="3" t="str">
        <f>_xlfn.XLOOKUP(R40,Sheet1!$B$2:$B$24,Sheet1!$A$2:$A$24,"NA",0,1)</f>
        <v>NA</v>
      </c>
      <c r="N40" s="3" t="str">
        <f>_xlfn.XLOOKUP(S40,Sheet1!$B$2:$B$24,Sheet1!$A$2:$A$24,"NA",0,1)</f>
        <v>NA</v>
      </c>
    </row>
    <row r="41" spans="1:19" x14ac:dyDescent="0.25">
      <c r="A41" s="3" t="s">
        <v>66</v>
      </c>
      <c r="B41" s="4">
        <v>46038</v>
      </c>
      <c r="C41" s="3" t="s">
        <v>67</v>
      </c>
      <c r="D41" s="3" t="s">
        <v>145</v>
      </c>
      <c r="E41" s="3" t="s">
        <v>64</v>
      </c>
      <c r="F41" s="3" t="s">
        <v>72</v>
      </c>
      <c r="G41" s="3" t="s">
        <v>69</v>
      </c>
      <c r="H41" s="3" t="s">
        <v>70</v>
      </c>
      <c r="I41" s="3" t="s">
        <v>71</v>
      </c>
      <c r="J41" s="3" t="str">
        <f>_xlfn.XLOOKUP(O41,Sheet1!$B$2:$B$24,Sheet1!$A$2:$A$24,"NA",0,1)</f>
        <v>NA</v>
      </c>
      <c r="K41" s="3" t="str">
        <f>_xlfn.XLOOKUP(P41,Sheet1!$B$2:$B$24,Sheet1!$A$2:$A$24,"NA",0,1)</f>
        <v>NA</v>
      </c>
      <c r="L41" s="3" t="str">
        <f>_xlfn.XLOOKUP(Q41,Sheet1!$B$2:$B$24,Sheet1!$A$2:$A$24,"NA",0,1)</f>
        <v>NA</v>
      </c>
      <c r="M41" s="3" t="str">
        <f>_xlfn.XLOOKUP(R41,Sheet1!$B$2:$B$24,Sheet1!$A$2:$A$24,"NA",0,1)</f>
        <v>NA</v>
      </c>
      <c r="N41" s="3" t="str">
        <f>_xlfn.XLOOKUP(S41,Sheet1!$B$2:$B$24,Sheet1!$A$2:$A$24,"NA",0,1)</f>
        <v>NA</v>
      </c>
    </row>
    <row r="42" spans="1:19" x14ac:dyDescent="0.25">
      <c r="A42" s="3" t="s">
        <v>66</v>
      </c>
      <c r="B42" s="4">
        <v>46038</v>
      </c>
      <c r="C42" s="3" t="s">
        <v>67</v>
      </c>
      <c r="D42" s="3" t="s">
        <v>145</v>
      </c>
      <c r="E42" s="3" t="s">
        <v>64</v>
      </c>
      <c r="F42" s="3" t="s">
        <v>73</v>
      </c>
      <c r="G42" s="3" t="s">
        <v>69</v>
      </c>
      <c r="H42" s="3" t="s">
        <v>70</v>
      </c>
      <c r="I42" s="3" t="s">
        <v>71</v>
      </c>
      <c r="J42" s="3" t="str">
        <f>_xlfn.XLOOKUP(O42,Sheet1!$B$2:$B$24,Sheet1!$A$2:$A$24,"NA",0,1)</f>
        <v>NA</v>
      </c>
      <c r="K42" s="3" t="str">
        <f>_xlfn.XLOOKUP(P42,Sheet1!$B$2:$B$24,Sheet1!$A$2:$A$24,"NA",0,1)</f>
        <v>NA</v>
      </c>
      <c r="L42" s="3" t="str">
        <f>_xlfn.XLOOKUP(Q42,Sheet1!$B$2:$B$24,Sheet1!$A$2:$A$24,"NA",0,1)</f>
        <v>NA</v>
      </c>
      <c r="M42" s="3" t="str">
        <f>_xlfn.XLOOKUP(R42,Sheet1!$B$2:$B$24,Sheet1!$A$2:$A$24,"NA",0,1)</f>
        <v>NA</v>
      </c>
      <c r="N42" s="3" t="str">
        <f>_xlfn.XLOOKUP(S42,Sheet1!$B$2:$B$24,Sheet1!$A$2:$A$24,"NA",0,1)</f>
        <v>NA</v>
      </c>
    </row>
    <row r="43" spans="1:19" x14ac:dyDescent="0.25">
      <c r="A43" s="3" t="s">
        <v>66</v>
      </c>
      <c r="B43" s="4">
        <v>46038</v>
      </c>
      <c r="C43" s="3" t="s">
        <v>67</v>
      </c>
      <c r="D43" s="3" t="s">
        <v>145</v>
      </c>
      <c r="E43" s="3" t="s">
        <v>64</v>
      </c>
      <c r="F43" s="3" t="s">
        <v>74</v>
      </c>
      <c r="G43" s="3" t="s">
        <v>69</v>
      </c>
      <c r="H43" s="3" t="s">
        <v>70</v>
      </c>
      <c r="I43" s="3" t="s">
        <v>71</v>
      </c>
      <c r="J43" s="3" t="str">
        <f>_xlfn.XLOOKUP(O43,Sheet1!$B$2:$B$24,Sheet1!$A$2:$A$24,"NA",0,1)</f>
        <v>NA</v>
      </c>
      <c r="K43" s="3" t="str">
        <f>_xlfn.XLOOKUP(P43,Sheet1!$B$2:$B$24,Sheet1!$A$2:$A$24,"NA",0,1)</f>
        <v>NA</v>
      </c>
      <c r="L43" s="3" t="str">
        <f>_xlfn.XLOOKUP(Q43,Sheet1!$B$2:$B$24,Sheet1!$A$2:$A$24,"NA",0,1)</f>
        <v>NA</v>
      </c>
      <c r="M43" s="3" t="str">
        <f>_xlfn.XLOOKUP(R43,Sheet1!$B$2:$B$24,Sheet1!$A$2:$A$24,"NA",0,1)</f>
        <v>NA</v>
      </c>
      <c r="N43" s="3" t="str">
        <f>_xlfn.XLOOKUP(S43,Sheet1!$B$2:$B$24,Sheet1!$A$2:$A$24,"NA",0,1)</f>
        <v>NA</v>
      </c>
    </row>
    <row r="44" spans="1:19" x14ac:dyDescent="0.25">
      <c r="A44" s="3" t="s">
        <v>66</v>
      </c>
      <c r="B44" s="4">
        <v>46038</v>
      </c>
      <c r="C44" s="3" t="s">
        <v>67</v>
      </c>
      <c r="D44" s="3" t="s">
        <v>145</v>
      </c>
      <c r="E44" s="3" t="s">
        <v>64</v>
      </c>
      <c r="F44" s="3" t="s">
        <v>75</v>
      </c>
      <c r="G44" s="3" t="s">
        <v>69</v>
      </c>
      <c r="H44" s="3" t="s">
        <v>70</v>
      </c>
      <c r="I44" s="3" t="s">
        <v>71</v>
      </c>
      <c r="J44" s="3" t="str">
        <f>_xlfn.XLOOKUP(O44,Sheet1!$B$2:$B$24,Sheet1!$A$2:$A$24,"NA",0,1)</f>
        <v>NA</v>
      </c>
      <c r="K44" s="3" t="str">
        <f>_xlfn.XLOOKUP(P44,Sheet1!$B$2:$B$24,Sheet1!$A$2:$A$24,"NA",0,1)</f>
        <v>NA</v>
      </c>
      <c r="L44" s="3" t="str">
        <f>_xlfn.XLOOKUP(Q44,Sheet1!$B$2:$B$24,Sheet1!$A$2:$A$24,"NA",0,1)</f>
        <v>NA</v>
      </c>
      <c r="M44" s="3" t="str">
        <f>_xlfn.XLOOKUP(R44,Sheet1!$B$2:$B$24,Sheet1!$A$2:$A$24,"NA",0,1)</f>
        <v>NA</v>
      </c>
      <c r="N44" s="3" t="str">
        <f>_xlfn.XLOOKUP(S44,Sheet1!$B$2:$B$24,Sheet1!$A$2:$A$24,"NA",0,1)</f>
        <v>NA</v>
      </c>
    </row>
    <row r="45" spans="1:19" x14ac:dyDescent="0.25">
      <c r="A45" s="3" t="s">
        <v>76</v>
      </c>
      <c r="B45" s="4">
        <v>46045</v>
      </c>
      <c r="C45" s="3" t="s">
        <v>77</v>
      </c>
      <c r="D45" s="3" t="s">
        <v>146</v>
      </c>
      <c r="E45" s="3" t="s">
        <v>53</v>
      </c>
      <c r="F45" s="3" t="s">
        <v>78</v>
      </c>
      <c r="G45" s="3" t="s">
        <v>79</v>
      </c>
      <c r="H45" s="3" t="s">
        <v>70</v>
      </c>
      <c r="I45" s="3" t="s">
        <v>71</v>
      </c>
      <c r="J45" s="3" t="str">
        <f>_xlfn.XLOOKUP(O45,Sheet1!$B$2:$B$24,Sheet1!$A$2:$A$24,"NA",0,1)</f>
        <v>NA</v>
      </c>
      <c r="K45" s="3" t="str">
        <f>_xlfn.XLOOKUP(P45,Sheet1!$B$2:$B$24,Sheet1!$A$2:$A$24,"NA",0,1)</f>
        <v>NA</v>
      </c>
      <c r="L45" s="3" t="str">
        <f>_xlfn.XLOOKUP(Q45,Sheet1!$B$2:$B$24,Sheet1!$A$2:$A$24,"NA",0,1)</f>
        <v>NA</v>
      </c>
      <c r="M45" s="3" t="str">
        <f>_xlfn.XLOOKUP(R45,Sheet1!$B$2:$B$24,Sheet1!$A$2:$A$24,"NA",0,1)</f>
        <v>NA</v>
      </c>
      <c r="N45" s="3" t="str">
        <f>_xlfn.XLOOKUP(S45,Sheet1!$B$2:$B$24,Sheet1!$A$2:$A$24,"NA",0,1)</f>
        <v>NA</v>
      </c>
    </row>
    <row r="46" spans="1:19" x14ac:dyDescent="0.25">
      <c r="A46" s="3" t="s">
        <v>76</v>
      </c>
      <c r="B46" s="4">
        <v>46045</v>
      </c>
      <c r="C46" s="3" t="s">
        <v>77</v>
      </c>
      <c r="D46" s="3" t="s">
        <v>146</v>
      </c>
      <c r="E46" s="3" t="s">
        <v>53</v>
      </c>
      <c r="F46" s="3" t="s">
        <v>78</v>
      </c>
      <c r="G46" s="3" t="s">
        <v>80</v>
      </c>
      <c r="H46" s="3" t="s">
        <v>81</v>
      </c>
      <c r="I46" s="3" t="s">
        <v>71</v>
      </c>
      <c r="J46" s="3" t="str">
        <f>_xlfn.XLOOKUP(O46,Sheet1!$B$2:$B$24,Sheet1!$A$2:$A$24,"NA",0,1)</f>
        <v>NA</v>
      </c>
      <c r="K46" s="3" t="str">
        <f>_xlfn.XLOOKUP(P46,Sheet1!$B$2:$B$24,Sheet1!$A$2:$A$24,"NA",0,1)</f>
        <v>NA</v>
      </c>
      <c r="L46" s="3" t="str">
        <f>_xlfn.XLOOKUP(Q46,Sheet1!$B$2:$B$24,Sheet1!$A$2:$A$24,"NA",0,1)</f>
        <v>NA</v>
      </c>
      <c r="M46" s="3" t="str">
        <f>_xlfn.XLOOKUP(R46,Sheet1!$B$2:$B$24,Sheet1!$A$2:$A$24,"NA",0,1)</f>
        <v>NA</v>
      </c>
      <c r="N46" s="3" t="str">
        <f>_xlfn.XLOOKUP(S46,Sheet1!$B$2:$B$24,Sheet1!$A$2:$A$24,"NA",0,1)</f>
        <v>NA</v>
      </c>
    </row>
    <row r="47" spans="1:19" x14ac:dyDescent="0.25">
      <c r="A47" s="3" t="s">
        <v>76</v>
      </c>
      <c r="B47" s="4">
        <v>46045</v>
      </c>
      <c r="C47" s="3" t="s">
        <v>77</v>
      </c>
      <c r="D47" s="3" t="s">
        <v>146</v>
      </c>
      <c r="E47" s="3" t="s">
        <v>53</v>
      </c>
      <c r="F47" s="3" t="s">
        <v>78</v>
      </c>
      <c r="G47" s="3" t="s">
        <v>23</v>
      </c>
      <c r="H47" s="3" t="s">
        <v>81</v>
      </c>
      <c r="I47" s="3" t="s">
        <v>71</v>
      </c>
      <c r="J47" s="3" t="str">
        <f>_xlfn.XLOOKUP(O47,Sheet1!$B$2:$B$24,Sheet1!$A$2:$A$24,"NA",0,1)</f>
        <v>NA</v>
      </c>
      <c r="K47" s="3" t="str">
        <f>_xlfn.XLOOKUP(P47,Sheet1!$B$2:$B$24,Sheet1!$A$2:$A$24,"NA",0,1)</f>
        <v>NA</v>
      </c>
      <c r="L47" s="3" t="str">
        <f>_xlfn.XLOOKUP(Q47,Sheet1!$B$2:$B$24,Sheet1!$A$2:$A$24,"NA",0,1)</f>
        <v>NA</v>
      </c>
      <c r="M47" s="3" t="str">
        <f>_xlfn.XLOOKUP(R47,Sheet1!$B$2:$B$24,Sheet1!$A$2:$A$24,"NA",0,1)</f>
        <v>NA</v>
      </c>
      <c r="N47" s="3" t="str">
        <f>_xlfn.XLOOKUP(S47,Sheet1!$B$2:$B$24,Sheet1!$A$2:$A$24,"NA",0,1)</f>
        <v>NA</v>
      </c>
    </row>
    <row r="48" spans="1:19" x14ac:dyDescent="0.25">
      <c r="A48" s="3" t="s">
        <v>76</v>
      </c>
      <c r="B48" s="4">
        <v>46045</v>
      </c>
      <c r="C48" s="3" t="s">
        <v>77</v>
      </c>
      <c r="D48" s="3" t="s">
        <v>146</v>
      </c>
      <c r="E48" s="3" t="s">
        <v>53</v>
      </c>
      <c r="F48" s="3" t="s">
        <v>78</v>
      </c>
      <c r="G48" s="3" t="s">
        <v>82</v>
      </c>
      <c r="H48" s="3" t="s">
        <v>81</v>
      </c>
      <c r="I48" s="3" t="s">
        <v>71</v>
      </c>
      <c r="J48" s="3" t="str">
        <f>_xlfn.XLOOKUP(O48,Sheet1!$B$2:$B$24,Sheet1!$A$2:$A$24,"NA",0,1)</f>
        <v>NA</v>
      </c>
      <c r="K48" s="3" t="str">
        <f>_xlfn.XLOOKUP(P48,Sheet1!$B$2:$B$24,Sheet1!$A$2:$A$24,"NA",0,1)</f>
        <v>NA</v>
      </c>
      <c r="L48" s="3" t="str">
        <f>_xlfn.XLOOKUP(Q48,Sheet1!$B$2:$B$24,Sheet1!$A$2:$A$24,"NA",0,1)</f>
        <v>NA</v>
      </c>
      <c r="M48" s="3" t="str">
        <f>_xlfn.XLOOKUP(R48,Sheet1!$B$2:$B$24,Sheet1!$A$2:$A$24,"NA",0,1)</f>
        <v>NA</v>
      </c>
      <c r="N48" s="3" t="str">
        <f>_xlfn.XLOOKUP(S48,Sheet1!$B$2:$B$24,Sheet1!$A$2:$A$24,"NA",0,1)</f>
        <v>NA</v>
      </c>
    </row>
    <row r="49" spans="1:19" x14ac:dyDescent="0.25">
      <c r="A49" s="3" t="s">
        <v>83</v>
      </c>
      <c r="B49" s="4">
        <v>46076</v>
      </c>
      <c r="C49" s="3" t="s">
        <v>84</v>
      </c>
      <c r="D49" s="3" t="s">
        <v>147</v>
      </c>
      <c r="E49" s="3" t="s">
        <v>53</v>
      </c>
      <c r="F49" s="3" t="s">
        <v>85</v>
      </c>
      <c r="G49" s="3" t="s">
        <v>79</v>
      </c>
      <c r="H49" s="3" t="s">
        <v>70</v>
      </c>
      <c r="I49" s="3" t="s">
        <v>71</v>
      </c>
      <c r="J49" s="3" t="str">
        <f>_xlfn.XLOOKUP(O49,Sheet1!$B$2:$B$24,Sheet1!$A$2:$A$24,"NA",0,1)</f>
        <v>NA</v>
      </c>
      <c r="K49" s="3" t="str">
        <f>_xlfn.XLOOKUP(P49,Sheet1!$B$2:$B$24,Sheet1!$A$2:$A$24,"NA",0,1)</f>
        <v>NA</v>
      </c>
      <c r="L49" s="3" t="str">
        <f>_xlfn.XLOOKUP(Q49,Sheet1!$B$2:$B$24,Sheet1!$A$2:$A$24,"NA",0,1)</f>
        <v>NA</v>
      </c>
      <c r="M49" s="3" t="str">
        <f>_xlfn.XLOOKUP(R49,Sheet1!$B$2:$B$24,Sheet1!$A$2:$A$24,"NA",0,1)</f>
        <v>NA</v>
      </c>
      <c r="N49" s="3" t="str">
        <f>_xlfn.XLOOKUP(S49,Sheet1!$B$2:$B$24,Sheet1!$A$2:$A$24,"NA",0,1)</f>
        <v>NA</v>
      </c>
    </row>
    <row r="50" spans="1:19" x14ac:dyDescent="0.25">
      <c r="A50" s="3" t="s">
        <v>83</v>
      </c>
      <c r="B50" s="4">
        <v>46076</v>
      </c>
      <c r="C50" s="3" t="s">
        <v>84</v>
      </c>
      <c r="D50" s="3" t="s">
        <v>147</v>
      </c>
      <c r="E50" s="3" t="s">
        <v>53</v>
      </c>
      <c r="F50" s="3" t="s">
        <v>54</v>
      </c>
      <c r="G50" s="3" t="s">
        <v>79</v>
      </c>
      <c r="H50" s="3" t="s">
        <v>70</v>
      </c>
      <c r="I50" s="3" t="s">
        <v>71</v>
      </c>
      <c r="J50" s="3" t="str">
        <f>_xlfn.XLOOKUP(O50,Sheet1!$B$2:$B$24,Sheet1!$A$2:$A$24,"NA",0,1)</f>
        <v>NA</v>
      </c>
      <c r="K50" s="3" t="str">
        <f>_xlfn.XLOOKUP(P50,Sheet1!$B$2:$B$24,Sheet1!$A$2:$A$24,"NA",0,1)</f>
        <v>NA</v>
      </c>
      <c r="L50" s="3" t="str">
        <f>_xlfn.XLOOKUP(Q50,Sheet1!$B$2:$B$24,Sheet1!$A$2:$A$24,"NA",0,1)</f>
        <v>NA</v>
      </c>
      <c r="M50" s="3" t="str">
        <f>_xlfn.XLOOKUP(R50,Sheet1!$B$2:$B$24,Sheet1!$A$2:$A$24,"NA",0,1)</f>
        <v>NA</v>
      </c>
      <c r="N50" s="3" t="str">
        <f>_xlfn.XLOOKUP(S50,Sheet1!$B$2:$B$24,Sheet1!$A$2:$A$24,"NA",0,1)</f>
        <v>NA</v>
      </c>
    </row>
    <row r="51" spans="1:19" x14ac:dyDescent="0.25">
      <c r="A51" s="3" t="s">
        <v>86</v>
      </c>
      <c r="B51" s="4">
        <v>46135</v>
      </c>
      <c r="C51" s="3" t="s">
        <v>84</v>
      </c>
      <c r="D51" s="3" t="s">
        <v>148</v>
      </c>
      <c r="E51" s="3" t="s">
        <v>53</v>
      </c>
      <c r="F51" s="3" t="s">
        <v>54</v>
      </c>
      <c r="G51" s="3" t="s">
        <v>87</v>
      </c>
      <c r="H51" s="3" t="s">
        <v>81</v>
      </c>
      <c r="I51" s="3" t="s">
        <v>71</v>
      </c>
      <c r="J51" s="3" t="str">
        <f>_xlfn.XLOOKUP(O51,Sheet1!$B$2:$B$24,Sheet1!$A$2:$A$24,"NA",0,1)</f>
        <v>NA</v>
      </c>
      <c r="K51" s="3" t="str">
        <f>_xlfn.XLOOKUP(P51,Sheet1!$B$2:$B$24,Sheet1!$A$2:$A$24,"NA",0,1)</f>
        <v>NA</v>
      </c>
      <c r="L51" s="3" t="str">
        <f>_xlfn.XLOOKUP(Q51,Sheet1!$B$2:$B$24,Sheet1!$A$2:$A$24,"NA",0,1)</f>
        <v>NA</v>
      </c>
      <c r="M51" s="3" t="str">
        <f>_xlfn.XLOOKUP(R51,Sheet1!$B$2:$B$24,Sheet1!$A$2:$A$24,"NA",0,1)</f>
        <v>NA</v>
      </c>
      <c r="N51" s="3" t="str">
        <f>_xlfn.XLOOKUP(S51,Sheet1!$B$2:$B$24,Sheet1!$A$2:$A$24,"NA",0,1)</f>
        <v>NA</v>
      </c>
    </row>
    <row r="52" spans="1:19" x14ac:dyDescent="0.25">
      <c r="A52" s="3" t="s">
        <v>86</v>
      </c>
      <c r="B52" s="4">
        <v>46135</v>
      </c>
      <c r="C52" s="3" t="s">
        <v>84</v>
      </c>
      <c r="D52" s="3" t="s">
        <v>148</v>
      </c>
      <c r="E52" s="3" t="s">
        <v>53</v>
      </c>
      <c r="F52" s="3" t="s">
        <v>54</v>
      </c>
      <c r="G52" s="3" t="s">
        <v>88</v>
      </c>
      <c r="H52" s="3" t="s">
        <v>81</v>
      </c>
      <c r="I52" s="3" t="s">
        <v>71</v>
      </c>
      <c r="J52" s="3" t="str">
        <f>_xlfn.XLOOKUP(O52,Sheet1!$B$2:$B$24,Sheet1!$A$2:$A$24,"NA",0,1)</f>
        <v>NA</v>
      </c>
      <c r="K52" s="3" t="str">
        <f>_xlfn.XLOOKUP(P52,Sheet1!$B$2:$B$24,Sheet1!$A$2:$A$24,"NA",0,1)</f>
        <v>NA</v>
      </c>
      <c r="L52" s="3" t="str">
        <f>_xlfn.XLOOKUP(Q52,Sheet1!$B$2:$B$24,Sheet1!$A$2:$A$24,"NA",0,1)</f>
        <v>NA</v>
      </c>
      <c r="M52" s="3" t="str">
        <f>_xlfn.XLOOKUP(R52,Sheet1!$B$2:$B$24,Sheet1!$A$2:$A$24,"NA",0,1)</f>
        <v>NA</v>
      </c>
      <c r="N52" s="3" t="str">
        <f>_xlfn.XLOOKUP(S52,Sheet1!$B$2:$B$24,Sheet1!$A$2:$A$24,"NA",0,1)</f>
        <v>NA</v>
      </c>
    </row>
    <row r="53" spans="1:19" x14ac:dyDescent="0.25">
      <c r="A53" s="3" t="s">
        <v>89</v>
      </c>
      <c r="B53" s="4">
        <v>46030</v>
      </c>
      <c r="C53" s="3" t="s">
        <v>90</v>
      </c>
      <c r="D53" s="3" t="s">
        <v>142</v>
      </c>
      <c r="E53" s="3" t="s">
        <v>43</v>
      </c>
      <c r="F53" s="3" t="s">
        <v>92</v>
      </c>
      <c r="G53" s="3" t="s">
        <v>93</v>
      </c>
      <c r="H53" s="3" t="s">
        <v>62</v>
      </c>
      <c r="I53" s="3" t="s">
        <v>71</v>
      </c>
      <c r="J53" s="3" t="str">
        <f>_xlfn.XLOOKUP(O53,Sheet1!$B$2:$B$24,Sheet1!$A$2:$A$24,"NA",0,1)</f>
        <v>NA</v>
      </c>
      <c r="K53" s="3" t="str">
        <f>_xlfn.XLOOKUP(P53,Sheet1!$B$2:$B$24,Sheet1!$A$2:$A$24,"NA",0,1)</f>
        <v>NA</v>
      </c>
      <c r="L53" s="3" t="str">
        <f>_xlfn.XLOOKUP(Q53,Sheet1!$B$2:$B$24,Sheet1!$A$2:$A$24,"NA",0,1)</f>
        <v>NA</v>
      </c>
      <c r="M53" s="3" t="str">
        <f>_xlfn.XLOOKUP(R53,Sheet1!$B$2:$B$24,Sheet1!$A$2:$A$24,"NA",0,1)</f>
        <v>NA</v>
      </c>
      <c r="N53" s="3" t="str">
        <f>_xlfn.XLOOKUP(S53,Sheet1!$B$2:$B$24,Sheet1!$A$2:$A$24,"NA",0,1)</f>
        <v>NA</v>
      </c>
    </row>
    <row r="54" spans="1:19" x14ac:dyDescent="0.25">
      <c r="A54" s="3" t="s">
        <v>94</v>
      </c>
      <c r="B54" s="4">
        <v>46066</v>
      </c>
      <c r="C54" s="3" t="s">
        <v>95</v>
      </c>
      <c r="D54" s="3" t="s">
        <v>142</v>
      </c>
      <c r="E54" s="3" t="s">
        <v>43</v>
      </c>
      <c r="F54" s="3" t="s">
        <v>96</v>
      </c>
      <c r="G54" s="3" t="s">
        <v>15</v>
      </c>
      <c r="H54" s="3" t="s">
        <v>81</v>
      </c>
      <c r="I54" s="3" t="s">
        <v>71</v>
      </c>
      <c r="J54" s="3" t="str">
        <f>_xlfn.XLOOKUP(O54,Sheet1!$B$2:$B$24,Sheet1!$A$2:$A$24,"NA",0,1)</f>
        <v>NA</v>
      </c>
      <c r="K54" s="3" t="str">
        <f>_xlfn.XLOOKUP(P54,Sheet1!$B$2:$B$24,Sheet1!$A$2:$A$24,"NA",0,1)</f>
        <v>NA</v>
      </c>
      <c r="L54" s="3" t="str">
        <f>_xlfn.XLOOKUP(Q54,Sheet1!$B$2:$B$24,Sheet1!$A$2:$A$24,"NA",0,1)</f>
        <v>NA</v>
      </c>
      <c r="M54" s="3" t="str">
        <f>_xlfn.XLOOKUP(R54,Sheet1!$B$2:$B$24,Sheet1!$A$2:$A$24,"NA",0,1)</f>
        <v>NA</v>
      </c>
      <c r="N54" s="3" t="str">
        <f>_xlfn.XLOOKUP(S54,Sheet1!$B$2:$B$24,Sheet1!$A$2:$A$24,"NA",0,1)</f>
        <v>NA</v>
      </c>
    </row>
    <row r="55" spans="1:19" x14ac:dyDescent="0.25">
      <c r="A55" s="3" t="s">
        <v>97</v>
      </c>
      <c r="B55" s="4">
        <v>46043</v>
      </c>
      <c r="C55" s="3" t="s">
        <v>95</v>
      </c>
      <c r="D55" s="3" t="s">
        <v>149</v>
      </c>
      <c r="E55" s="3" t="s">
        <v>53</v>
      </c>
      <c r="F55" s="3" t="s">
        <v>54</v>
      </c>
      <c r="G55" s="3" t="s">
        <v>80</v>
      </c>
      <c r="H55" s="3" t="s">
        <v>81</v>
      </c>
      <c r="I55" s="3" t="s">
        <v>71</v>
      </c>
      <c r="J55" s="3" t="str">
        <f>_xlfn.XLOOKUP(O55,Sheet1!$B$2:$B$24,Sheet1!$A$2:$A$24,"NA",0,1)</f>
        <v>NA</v>
      </c>
      <c r="K55" s="3" t="str">
        <f>_xlfn.XLOOKUP(P55,Sheet1!$B$2:$B$24,Sheet1!$A$2:$A$24,"NA",0,1)</f>
        <v>NA</v>
      </c>
      <c r="L55" s="3" t="str">
        <f>_xlfn.XLOOKUP(Q55,Sheet1!$B$2:$B$24,Sheet1!$A$2:$A$24,"NA",0,1)</f>
        <v>NA</v>
      </c>
      <c r="M55" s="3" t="str">
        <f>_xlfn.XLOOKUP(R55,Sheet1!$B$2:$B$24,Sheet1!$A$2:$A$24,"NA",0,1)</f>
        <v>NA</v>
      </c>
      <c r="N55" s="3" t="str">
        <f>_xlfn.XLOOKUP(S55,Sheet1!$B$2:$B$24,Sheet1!$A$2:$A$24,"NA",0,1)</f>
        <v>NA</v>
      </c>
    </row>
    <row r="56" spans="1:19" x14ac:dyDescent="0.25">
      <c r="A56" s="3" t="s">
        <v>97</v>
      </c>
      <c r="B56" s="4">
        <v>46043</v>
      </c>
      <c r="C56" s="3" t="s">
        <v>95</v>
      </c>
      <c r="D56" s="3" t="s">
        <v>149</v>
      </c>
      <c r="E56" s="3" t="s">
        <v>53</v>
      </c>
      <c r="F56" s="3" t="s">
        <v>85</v>
      </c>
      <c r="G56" s="3" t="s">
        <v>80</v>
      </c>
      <c r="H56" s="3" t="s">
        <v>81</v>
      </c>
      <c r="I56" s="3" t="s">
        <v>71</v>
      </c>
      <c r="J56" s="3" t="str">
        <f>_xlfn.XLOOKUP(O56,Sheet1!$B$2:$B$24,Sheet1!$A$2:$A$24,"NA",0,1)</f>
        <v>NA</v>
      </c>
      <c r="K56" s="3" t="str">
        <f>_xlfn.XLOOKUP(P56,Sheet1!$B$2:$B$24,Sheet1!$A$2:$A$24,"NA",0,1)</f>
        <v>NA</v>
      </c>
      <c r="L56" s="3" t="str">
        <f>_xlfn.XLOOKUP(Q56,Sheet1!$B$2:$B$24,Sheet1!$A$2:$A$24,"NA",0,1)</f>
        <v>NA</v>
      </c>
      <c r="M56" s="3" t="str">
        <f>_xlfn.XLOOKUP(R56,Sheet1!$B$2:$B$24,Sheet1!$A$2:$A$24,"NA",0,1)</f>
        <v>NA</v>
      </c>
      <c r="N56" s="3" t="str">
        <f>_xlfn.XLOOKUP(S56,Sheet1!$B$2:$B$24,Sheet1!$A$2:$A$24,"NA",0,1)</f>
        <v>NA</v>
      </c>
    </row>
    <row r="57" spans="1:19" x14ac:dyDescent="0.25">
      <c r="A57" s="3" t="s">
        <v>97</v>
      </c>
      <c r="B57" s="4">
        <v>46043</v>
      </c>
      <c r="C57" s="3" t="s">
        <v>95</v>
      </c>
      <c r="D57" s="3" t="s">
        <v>149</v>
      </c>
      <c r="E57" s="3" t="s">
        <v>91</v>
      </c>
      <c r="F57" s="3" t="s">
        <v>92</v>
      </c>
      <c r="G57" s="3" t="s">
        <v>80</v>
      </c>
      <c r="H57" s="3" t="s">
        <v>81</v>
      </c>
      <c r="I57" s="3" t="s">
        <v>71</v>
      </c>
      <c r="J57" s="3" t="str">
        <f>_xlfn.XLOOKUP(O57,Sheet1!$B$2:$B$24,Sheet1!$A$2:$A$24,"NA",0,1)</f>
        <v>NA</v>
      </c>
      <c r="K57" s="3" t="str">
        <f>_xlfn.XLOOKUP(P57,Sheet1!$B$2:$B$24,Sheet1!$A$2:$A$24,"NA",0,1)</f>
        <v>NA</v>
      </c>
      <c r="L57" s="3" t="str">
        <f>_xlfn.XLOOKUP(Q57,Sheet1!$B$2:$B$24,Sheet1!$A$2:$A$24,"NA",0,1)</f>
        <v>NA</v>
      </c>
      <c r="M57" s="3" t="str">
        <f>_xlfn.XLOOKUP(R57,Sheet1!$B$2:$B$24,Sheet1!$A$2:$A$24,"NA",0,1)</f>
        <v>NA</v>
      </c>
      <c r="N57" s="3" t="str">
        <f>_xlfn.XLOOKUP(S57,Sheet1!$B$2:$B$24,Sheet1!$A$2:$A$24,"NA",0,1)</f>
        <v>NA</v>
      </c>
    </row>
    <row r="58" spans="1:19" x14ac:dyDescent="0.25">
      <c r="A58" s="3" t="s">
        <v>98</v>
      </c>
      <c r="B58" s="4">
        <v>46092</v>
      </c>
      <c r="C58" s="3" t="s">
        <v>99</v>
      </c>
      <c r="D58" s="6" t="s">
        <v>150</v>
      </c>
      <c r="E58" s="3" t="s">
        <v>43</v>
      </c>
      <c r="F58" s="3" t="s">
        <v>100</v>
      </c>
      <c r="G58" s="3" t="s">
        <v>87</v>
      </c>
      <c r="H58" s="3" t="s">
        <v>81</v>
      </c>
      <c r="I58" s="3" t="s">
        <v>71</v>
      </c>
      <c r="J58" s="3" t="str">
        <f>_xlfn.XLOOKUP(O58,Sheet1!$B$2:$B$24,Sheet1!$A$2:$A$24,"NA",0,1)</f>
        <v>NA</v>
      </c>
      <c r="K58" s="3" t="str">
        <f>_xlfn.XLOOKUP(P58,Sheet1!$B$2:$B$24,Sheet1!$A$2:$A$24,"NA",0,1)</f>
        <v>NA</v>
      </c>
      <c r="L58" s="3" t="str">
        <f>_xlfn.XLOOKUP(Q58,Sheet1!$B$2:$B$24,Sheet1!$A$2:$A$24,"NA",0,1)</f>
        <v>NA</v>
      </c>
      <c r="M58" s="3" t="str">
        <f>_xlfn.XLOOKUP(R58,Sheet1!$B$2:$B$24,Sheet1!$A$2:$A$24,"NA",0,1)</f>
        <v>NA</v>
      </c>
      <c r="N58" s="3" t="str">
        <f>_xlfn.XLOOKUP(S58,Sheet1!$B$2:$B$24,Sheet1!$A$2:$A$24,"NA",0,1)</f>
        <v>NA</v>
      </c>
    </row>
    <row r="59" spans="1:19" x14ac:dyDescent="0.25">
      <c r="A59" s="3" t="s">
        <v>98</v>
      </c>
      <c r="B59" s="4">
        <v>46092</v>
      </c>
      <c r="C59" s="3" t="s">
        <v>99</v>
      </c>
      <c r="D59" s="6" t="s">
        <v>150</v>
      </c>
      <c r="E59" s="3" t="s">
        <v>53</v>
      </c>
      <c r="F59" s="3" t="s">
        <v>85</v>
      </c>
      <c r="G59" s="3" t="s">
        <v>87</v>
      </c>
      <c r="H59" s="3" t="s">
        <v>81</v>
      </c>
      <c r="I59" s="3" t="s">
        <v>71</v>
      </c>
      <c r="J59" s="3" t="str">
        <f>_xlfn.XLOOKUP(O59,Sheet1!$B$2:$B$24,Sheet1!$A$2:$A$24,"NA",0,1)</f>
        <v>NA</v>
      </c>
      <c r="K59" s="3" t="str">
        <f>_xlfn.XLOOKUP(P59,Sheet1!$B$2:$B$24,Sheet1!$A$2:$A$24,"NA",0,1)</f>
        <v>NA</v>
      </c>
      <c r="L59" s="3" t="str">
        <f>_xlfn.XLOOKUP(Q59,Sheet1!$B$2:$B$24,Sheet1!$A$2:$A$24,"NA",0,1)</f>
        <v>NA</v>
      </c>
      <c r="M59" s="3" t="str">
        <f>_xlfn.XLOOKUP(R59,Sheet1!$B$2:$B$24,Sheet1!$A$2:$A$24,"NA",0,1)</f>
        <v>NA</v>
      </c>
      <c r="N59" s="3" t="str">
        <f>_xlfn.XLOOKUP(S59,Sheet1!$B$2:$B$24,Sheet1!$A$2:$A$24,"NA",0,1)</f>
        <v>NA</v>
      </c>
    </row>
    <row r="60" spans="1:19" x14ac:dyDescent="0.25">
      <c r="A60" s="3" t="s">
        <v>109</v>
      </c>
      <c r="B60" s="4">
        <v>46164</v>
      </c>
      <c r="C60" s="7" t="s">
        <v>112</v>
      </c>
      <c r="D60" s="3" t="s">
        <v>140</v>
      </c>
      <c r="E60" s="3" t="s">
        <v>14</v>
      </c>
      <c r="F60" s="3" t="s">
        <v>13</v>
      </c>
      <c r="G60" s="3" t="s">
        <v>80</v>
      </c>
      <c r="H60" s="3" t="s">
        <v>70</v>
      </c>
      <c r="I60" s="3" t="s">
        <v>71</v>
      </c>
      <c r="J60" s="3" t="str">
        <f>_xlfn.XLOOKUP(O60,Sheet1!$B$2:$B$24,Sheet1!$A$2:$A$24,"NA",0,1)</f>
        <v>NA</v>
      </c>
      <c r="K60" s="3" t="str">
        <f>_xlfn.XLOOKUP(P60,Sheet1!$B$2:$B$24,Sheet1!$A$2:$A$24,"NA",0,1)</f>
        <v>NA</v>
      </c>
      <c r="L60" s="3" t="str">
        <f>_xlfn.XLOOKUP(Q60,Sheet1!$B$2:$B$24,Sheet1!$A$2:$A$24,"NA",0,1)</f>
        <v>NA</v>
      </c>
      <c r="M60" s="3" t="str">
        <f>_xlfn.XLOOKUP(R60,Sheet1!$B$2:$B$24,Sheet1!$A$2:$A$24,"NA",0,1)</f>
        <v>NA</v>
      </c>
      <c r="N60" s="3" t="str">
        <f>_xlfn.XLOOKUP(S60,Sheet1!$B$2:$B$24,Sheet1!$A$2:$A$24,"NA",0,1)</f>
        <v>NA</v>
      </c>
    </row>
    <row r="61" spans="1:19" x14ac:dyDescent="0.25">
      <c r="A61" s="3" t="s">
        <v>115</v>
      </c>
      <c r="B61" s="4">
        <v>46048</v>
      </c>
      <c r="C61" s="3" t="s">
        <v>112</v>
      </c>
      <c r="D61" s="3" t="s">
        <v>141</v>
      </c>
      <c r="E61" s="3" t="s">
        <v>14</v>
      </c>
      <c r="F61" s="3" t="s">
        <v>116</v>
      </c>
      <c r="G61" s="3" t="s">
        <v>80</v>
      </c>
      <c r="H61" s="3" t="s">
        <v>70</v>
      </c>
      <c r="I61" s="3" t="s">
        <v>71</v>
      </c>
      <c r="J61" s="3" t="str">
        <f>_xlfn.XLOOKUP(O61,Sheet1!$B$2:$B$24,Sheet1!$A$2:$A$24,"NA",0,1)</f>
        <v>NA</v>
      </c>
      <c r="K61" s="3" t="str">
        <f>_xlfn.XLOOKUP(P61,Sheet1!$B$2:$B$24,Sheet1!$A$2:$A$24,"NA",0,1)</f>
        <v>NA</v>
      </c>
      <c r="L61" s="3" t="str">
        <f>_xlfn.XLOOKUP(Q61,Sheet1!$B$2:$B$24,Sheet1!$A$2:$A$24,"NA",0,1)</f>
        <v>NA</v>
      </c>
      <c r="M61" s="3" t="str">
        <f>_xlfn.XLOOKUP(R61,Sheet1!$B$2:$B$24,Sheet1!$A$2:$A$24,"NA",0,1)</f>
        <v>NA</v>
      </c>
      <c r="N61" s="3" t="str">
        <f>_xlfn.XLOOKUP(S61,Sheet1!$B$2:$B$24,Sheet1!$A$2:$A$24,"NA",0,1)</f>
        <v>NA</v>
      </c>
    </row>
    <row r="62" spans="1:19" x14ac:dyDescent="0.25">
      <c r="A62" s="3" t="s">
        <v>119</v>
      </c>
      <c r="B62" s="4">
        <v>46048</v>
      </c>
      <c r="C62" s="3" t="s">
        <v>112</v>
      </c>
      <c r="D62" s="3" t="s">
        <v>141</v>
      </c>
      <c r="E62" s="3" t="s">
        <v>108</v>
      </c>
      <c r="F62" s="3" t="s">
        <v>117</v>
      </c>
      <c r="G62" s="3" t="s">
        <v>80</v>
      </c>
      <c r="H62" s="3" t="s">
        <v>70</v>
      </c>
      <c r="I62" s="3" t="s">
        <v>71</v>
      </c>
      <c r="J62" s="3" t="str">
        <f>_xlfn.XLOOKUP(O62,Sheet1!$B$2:$B$24,Sheet1!$A$2:$A$24,"NA",0,1)</f>
        <v>NA</v>
      </c>
      <c r="K62" s="3" t="str">
        <f>_xlfn.XLOOKUP(P62,Sheet1!$B$2:$B$24,Sheet1!$A$2:$A$24,"NA",0,1)</f>
        <v>NA</v>
      </c>
      <c r="L62" s="3" t="str">
        <f>_xlfn.XLOOKUP(Q62,Sheet1!$B$2:$B$24,Sheet1!$A$2:$A$24,"NA",0,1)</f>
        <v>NA</v>
      </c>
      <c r="M62" s="3" t="str">
        <f>_xlfn.XLOOKUP(R62,Sheet1!$B$2:$B$24,Sheet1!$A$2:$A$24,"NA",0,1)</f>
        <v>NA</v>
      </c>
      <c r="N62" s="3" t="str">
        <f>_xlfn.XLOOKUP(S62,Sheet1!$B$2:$B$24,Sheet1!$A$2:$A$24,"NA",0,1)</f>
        <v>NA</v>
      </c>
    </row>
    <row r="63" spans="1:19" x14ac:dyDescent="0.25">
      <c r="A63" s="3" t="s">
        <v>120</v>
      </c>
      <c r="B63" s="4">
        <v>46048</v>
      </c>
      <c r="C63" s="3" t="s">
        <v>112</v>
      </c>
      <c r="D63" s="3" t="s">
        <v>141</v>
      </c>
      <c r="E63" s="3" t="s">
        <v>53</v>
      </c>
      <c r="F63" s="3" t="s">
        <v>118</v>
      </c>
      <c r="G63" s="3" t="s">
        <v>80</v>
      </c>
      <c r="H63" s="3" t="s">
        <v>70</v>
      </c>
      <c r="I63" s="3" t="s">
        <v>71</v>
      </c>
      <c r="J63" s="3" t="str">
        <f>_xlfn.XLOOKUP(O63,Sheet1!$B$2:$B$24,Sheet1!$A$2:$A$24,"NA",0,1)</f>
        <v>NA</v>
      </c>
      <c r="K63" s="3" t="str">
        <f>_xlfn.XLOOKUP(P63,Sheet1!$B$2:$B$24,Sheet1!$A$2:$A$24,"NA",0,1)</f>
        <v>NA</v>
      </c>
      <c r="L63" s="3" t="str">
        <f>_xlfn.XLOOKUP(Q63,Sheet1!$B$2:$B$24,Sheet1!$A$2:$A$24,"NA",0,1)</f>
        <v>NA</v>
      </c>
      <c r="M63" s="3" t="str">
        <f>_xlfn.XLOOKUP(R63,Sheet1!$B$2:$B$24,Sheet1!$A$2:$A$24,"NA",0,1)</f>
        <v>NA</v>
      </c>
      <c r="N63" s="3" t="str">
        <f>_xlfn.XLOOKUP(S63,Sheet1!$B$2:$B$24,Sheet1!$A$2:$A$24,"NA",0,1)</f>
        <v>NA</v>
      </c>
    </row>
    <row r="64" spans="1:19" x14ac:dyDescent="0.25">
      <c r="A64" s="3" t="s">
        <v>111</v>
      </c>
      <c r="B64" s="4">
        <v>46059</v>
      </c>
      <c r="C64" s="8" t="s">
        <v>114</v>
      </c>
      <c r="D64" s="3" t="s">
        <v>139</v>
      </c>
      <c r="E64" s="5" t="s">
        <v>14</v>
      </c>
      <c r="F64" s="5" t="s">
        <v>121</v>
      </c>
      <c r="G64" s="5" t="s">
        <v>122</v>
      </c>
      <c r="H64" s="5" t="s">
        <v>62</v>
      </c>
      <c r="I64" s="5" t="s">
        <v>123</v>
      </c>
      <c r="J64" s="3" t="str">
        <f>_xlfn.XLOOKUP(O64,Sheet1!$B$2:$B$24,Sheet1!$A$2:$A$24,"NA",0,1)</f>
        <v>WTO &amp; Legal Concerns</v>
      </c>
      <c r="K64" s="3" t="str">
        <f>_xlfn.XLOOKUP(P64,Sheet1!$B$2:$B$24,Sheet1!$A$2:$A$24,"NA",0,1)</f>
        <v>Regulatory Design &amp; Methodology</v>
      </c>
      <c r="L64" s="3" t="str">
        <f>_xlfn.XLOOKUP(Q64,Sheet1!$B$2:$B$24,Sheet1!$A$2:$A$24,"NA",0,1)</f>
        <v>NA</v>
      </c>
      <c r="M64" s="3" t="str">
        <f>_xlfn.XLOOKUP(R64,Sheet1!$B$2:$B$24,Sheet1!$A$2:$A$24,"NA",0,1)</f>
        <v>NA</v>
      </c>
      <c r="N64" s="3" t="str">
        <f>_xlfn.XLOOKUP(S64,Sheet1!$B$2:$B$24,Sheet1!$A$2:$A$24,"NA",0,1)</f>
        <v>NA</v>
      </c>
      <c r="O64" s="5" t="s">
        <v>25</v>
      </c>
      <c r="P64" s="5" t="s">
        <v>34</v>
      </c>
      <c r="Q64" s="5"/>
      <c r="R64" s="9"/>
      <c r="S64" s="9"/>
    </row>
    <row r="65" spans="1:19" x14ac:dyDescent="0.25">
      <c r="A65" s="3" t="s">
        <v>111</v>
      </c>
      <c r="B65" s="4">
        <v>46059</v>
      </c>
      <c r="C65" s="8" t="s">
        <v>114</v>
      </c>
      <c r="D65" s="3" t="s">
        <v>139</v>
      </c>
      <c r="E65" s="5" t="s">
        <v>14</v>
      </c>
      <c r="F65" s="5" t="s">
        <v>124</v>
      </c>
      <c r="G65" s="5" t="s">
        <v>122</v>
      </c>
      <c r="H65" s="5" t="s">
        <v>62</v>
      </c>
      <c r="I65" s="5" t="s">
        <v>123</v>
      </c>
      <c r="J65" s="3" t="str">
        <f>_xlfn.XLOOKUP(O65,Sheet1!$B$2:$B$24,Sheet1!$A$2:$A$24,"NA",0,1)</f>
        <v>WTO &amp; Legal Concerns</v>
      </c>
      <c r="K65" s="3" t="str">
        <f>_xlfn.XLOOKUP(P65,Sheet1!$B$2:$B$24,Sheet1!$A$2:$A$24,"NA",0,1)</f>
        <v>Regulatory Design &amp; Methodology</v>
      </c>
      <c r="L65" s="3" t="str">
        <f>_xlfn.XLOOKUP(Q65,Sheet1!$B$2:$B$24,Sheet1!$A$2:$A$24,"NA",0,1)</f>
        <v>NA</v>
      </c>
      <c r="M65" s="3" t="str">
        <f>_xlfn.XLOOKUP(R65,Sheet1!$B$2:$B$24,Sheet1!$A$2:$A$24,"NA",0,1)</f>
        <v>NA</v>
      </c>
      <c r="N65" s="3" t="str">
        <f>_xlfn.XLOOKUP(S65,Sheet1!$B$2:$B$24,Sheet1!$A$2:$A$24,"NA",0,1)</f>
        <v>NA</v>
      </c>
      <c r="O65" s="5" t="s">
        <v>25</v>
      </c>
      <c r="P65" s="5" t="s">
        <v>34</v>
      </c>
      <c r="Q65" s="5"/>
      <c r="R65" s="5"/>
      <c r="S65" s="5"/>
    </row>
    <row r="66" spans="1:19" ht="30" x14ac:dyDescent="0.25">
      <c r="A66" s="3" t="s">
        <v>111</v>
      </c>
      <c r="B66" s="4">
        <v>46059</v>
      </c>
      <c r="C66" s="8" t="s">
        <v>114</v>
      </c>
      <c r="D66" s="3" t="s">
        <v>139</v>
      </c>
      <c r="E66" s="5" t="s">
        <v>14</v>
      </c>
      <c r="F66" s="5" t="s">
        <v>125</v>
      </c>
      <c r="G66" s="5" t="s">
        <v>122</v>
      </c>
      <c r="H66" s="5" t="s">
        <v>62</v>
      </c>
      <c r="I66" s="5" t="s">
        <v>123</v>
      </c>
      <c r="J66" s="3" t="str">
        <f>_xlfn.XLOOKUP(O66,Sheet1!$B$2:$B$24,Sheet1!$A$2:$A$24,"NA",0,1)</f>
        <v>WTO &amp; Legal Concerns</v>
      </c>
      <c r="K66" s="3" t="str">
        <f>_xlfn.XLOOKUP(P66,Sheet1!$B$2:$B$24,Sheet1!$A$2:$A$24,"NA",0,1)</f>
        <v>WTO &amp; Legal Concerns</v>
      </c>
      <c r="L66" s="3" t="str">
        <f>_xlfn.XLOOKUP(Q66,Sheet1!$B$2:$B$24,Sheet1!$A$2:$A$24,"NA",0,1)</f>
        <v>Regulatory Design &amp; Methodology</v>
      </c>
      <c r="M66" s="3" t="str">
        <f>_xlfn.XLOOKUP(R66,Sheet1!$B$2:$B$24,Sheet1!$A$2:$A$24,"NA",0,1)</f>
        <v>NA</v>
      </c>
      <c r="N66" s="3" t="str">
        <f>_xlfn.XLOOKUP(S66,Sheet1!$B$2:$B$24,Sheet1!$A$2:$A$24,"NA",0,1)</f>
        <v>NA</v>
      </c>
      <c r="O66" s="5" t="s">
        <v>25</v>
      </c>
      <c r="P66" s="5" t="s">
        <v>18</v>
      </c>
      <c r="Q66" s="5" t="s">
        <v>34</v>
      </c>
      <c r="R66" s="5"/>
      <c r="S66" s="5"/>
    </row>
    <row r="67" spans="1:19" ht="30" x14ac:dyDescent="0.25">
      <c r="A67" s="3" t="s">
        <v>110</v>
      </c>
      <c r="B67" s="4">
        <v>46100</v>
      </c>
      <c r="C67" s="3" t="s">
        <v>113</v>
      </c>
      <c r="D67" s="3" t="s">
        <v>144</v>
      </c>
      <c r="E67" s="5" t="s">
        <v>14</v>
      </c>
      <c r="F67" s="5" t="s">
        <v>121</v>
      </c>
      <c r="G67" s="5" t="s">
        <v>126</v>
      </c>
      <c r="H67" s="5" t="s">
        <v>70</v>
      </c>
      <c r="I67" s="5" t="s">
        <v>71</v>
      </c>
      <c r="J67" s="3" t="str">
        <f>_xlfn.XLOOKUP(O67,Sheet1!$B$2:$B$24,Sheet1!$A$2:$A$24,"NA",0,1)</f>
        <v>NA</v>
      </c>
      <c r="K67" s="3" t="str">
        <f>_xlfn.XLOOKUP(P67,Sheet1!$B$2:$B$24,Sheet1!$A$2:$A$24,"NA",0,1)</f>
        <v>NA</v>
      </c>
      <c r="L67" s="3" t="str">
        <f>_xlfn.XLOOKUP(Q67,Sheet1!$B$2:$B$24,Sheet1!$A$2:$A$24,"NA",0,1)</f>
        <v>NA</v>
      </c>
      <c r="M67" s="3" t="str">
        <f>_xlfn.XLOOKUP(R67,Sheet1!$B$2:$B$24,Sheet1!$A$2:$A$24,"NA",0,1)</f>
        <v>NA</v>
      </c>
      <c r="N67" s="3" t="str">
        <f>_xlfn.XLOOKUP(S67,Sheet1!$B$2:$B$24,Sheet1!$A$2:$A$24,"NA",0,1)</f>
        <v>NA</v>
      </c>
      <c r="R67" s="5"/>
      <c r="S67" s="5"/>
    </row>
    <row r="68" spans="1:19" ht="30" x14ac:dyDescent="0.25">
      <c r="A68" s="3" t="s">
        <v>110</v>
      </c>
      <c r="B68" s="4">
        <v>46100</v>
      </c>
      <c r="C68" s="3" t="s">
        <v>113</v>
      </c>
      <c r="D68" s="3" t="s">
        <v>144</v>
      </c>
      <c r="E68" s="5" t="s">
        <v>14</v>
      </c>
      <c r="F68" s="5" t="s">
        <v>127</v>
      </c>
      <c r="G68" s="5" t="s">
        <v>126</v>
      </c>
      <c r="H68" s="5" t="s">
        <v>70</v>
      </c>
      <c r="I68" s="5" t="s">
        <v>71</v>
      </c>
      <c r="J68" s="3" t="str">
        <f>_xlfn.XLOOKUP(O68,Sheet1!$B$2:$B$24,Sheet1!$A$2:$A$24,"NA",0,1)</f>
        <v>NA</v>
      </c>
      <c r="K68" s="3" t="str">
        <f>_xlfn.XLOOKUP(P68,Sheet1!$B$2:$B$24,Sheet1!$A$2:$A$24,"NA",0,1)</f>
        <v>NA</v>
      </c>
      <c r="L68" s="3" t="str">
        <f>_xlfn.XLOOKUP(Q68,Sheet1!$B$2:$B$24,Sheet1!$A$2:$A$24,"NA",0,1)</f>
        <v>NA</v>
      </c>
      <c r="M68" s="3" t="str">
        <f>_xlfn.XLOOKUP(R68,Sheet1!$B$2:$B$24,Sheet1!$A$2:$A$24,"NA",0,1)</f>
        <v>NA</v>
      </c>
      <c r="N68" s="3" t="str">
        <f>_xlfn.XLOOKUP(S68,Sheet1!$B$2:$B$24,Sheet1!$A$2:$A$24,"NA",0,1)</f>
        <v>NA</v>
      </c>
    </row>
    <row r="69" spans="1:19" ht="30" x14ac:dyDescent="0.25">
      <c r="A69" s="3" t="s">
        <v>110</v>
      </c>
      <c r="B69" s="4">
        <v>46100</v>
      </c>
      <c r="C69" s="3" t="s">
        <v>113</v>
      </c>
      <c r="D69" s="3" t="s">
        <v>144</v>
      </c>
      <c r="E69" s="5" t="s">
        <v>14</v>
      </c>
      <c r="F69" s="5" t="s">
        <v>128</v>
      </c>
      <c r="G69" s="5" t="s">
        <v>126</v>
      </c>
      <c r="H69" s="5" t="s">
        <v>70</v>
      </c>
      <c r="I69" s="5" t="s">
        <v>71</v>
      </c>
      <c r="J69" s="3" t="str">
        <f>_xlfn.XLOOKUP(O69,Sheet1!$B$2:$B$24,Sheet1!$A$2:$A$24,"NA",0,1)</f>
        <v>NA</v>
      </c>
      <c r="K69" s="3" t="str">
        <f>_xlfn.XLOOKUP(P69,Sheet1!$B$2:$B$24,Sheet1!$A$2:$A$24,"NA",0,1)</f>
        <v>NA</v>
      </c>
      <c r="L69" s="3" t="str">
        <f>_xlfn.XLOOKUP(Q69,Sheet1!$B$2:$B$24,Sheet1!$A$2:$A$24,"NA",0,1)</f>
        <v>NA</v>
      </c>
      <c r="M69" s="3" t="str">
        <f>_xlfn.XLOOKUP(R69,Sheet1!$B$2:$B$24,Sheet1!$A$2:$A$24,"NA",0,1)</f>
        <v>NA</v>
      </c>
      <c r="N69" s="3" t="str">
        <f>_xlfn.XLOOKUP(S69,Sheet1!$B$2:$B$24,Sheet1!$A$2:$A$24,"NA",0,1)</f>
        <v>NA</v>
      </c>
    </row>
    <row r="70" spans="1:19" ht="30" x14ac:dyDescent="0.25">
      <c r="A70" s="3" t="s">
        <v>110</v>
      </c>
      <c r="B70" s="4">
        <v>46100</v>
      </c>
      <c r="C70" s="3" t="s">
        <v>113</v>
      </c>
      <c r="D70" s="3" t="s">
        <v>144</v>
      </c>
      <c r="E70" s="5" t="s">
        <v>53</v>
      </c>
      <c r="F70" s="5" t="s">
        <v>129</v>
      </c>
      <c r="G70" s="5" t="s">
        <v>126</v>
      </c>
      <c r="H70" s="5" t="s">
        <v>70</v>
      </c>
      <c r="I70" s="5" t="s">
        <v>71</v>
      </c>
      <c r="J70" s="3" t="str">
        <f>_xlfn.XLOOKUP(O70,Sheet1!$B$2:$B$24,Sheet1!$A$2:$A$24,"NA",0,1)</f>
        <v>NA</v>
      </c>
      <c r="K70" s="3" t="str">
        <f>_xlfn.XLOOKUP(P70,Sheet1!$B$2:$B$24,Sheet1!$A$2:$A$24,"NA",0,1)</f>
        <v>NA</v>
      </c>
      <c r="L70" s="3" t="str">
        <f>_xlfn.XLOOKUP(Q70,Sheet1!$B$2:$B$24,Sheet1!$A$2:$A$24,"NA",0,1)</f>
        <v>NA</v>
      </c>
      <c r="M70" s="3" t="str">
        <f>_xlfn.XLOOKUP(R70,Sheet1!$B$2:$B$24,Sheet1!$A$2:$A$24,"NA",0,1)</f>
        <v>NA</v>
      </c>
      <c r="N70" s="3" t="str">
        <f>_xlfn.XLOOKUP(S70,Sheet1!$B$2:$B$24,Sheet1!$A$2:$A$24,"NA",0,1)</f>
        <v>NA</v>
      </c>
    </row>
    <row r="71" spans="1:19" ht="30" x14ac:dyDescent="0.25">
      <c r="A71" s="3" t="s">
        <v>110</v>
      </c>
      <c r="B71" s="4">
        <v>46100</v>
      </c>
      <c r="C71" s="3" t="s">
        <v>113</v>
      </c>
      <c r="D71" s="3" t="s">
        <v>144</v>
      </c>
      <c r="E71" s="5" t="s">
        <v>53</v>
      </c>
      <c r="F71" s="5" t="s">
        <v>130</v>
      </c>
      <c r="G71" s="5" t="s">
        <v>126</v>
      </c>
      <c r="H71" s="5" t="s">
        <v>70</v>
      </c>
      <c r="I71" s="5" t="s">
        <v>71</v>
      </c>
      <c r="J71" s="3" t="str">
        <f>_xlfn.XLOOKUP(O71,Sheet1!$B$2:$B$24,Sheet1!$A$2:$A$24,"NA",0,1)</f>
        <v>NA</v>
      </c>
      <c r="K71" s="3" t="str">
        <f>_xlfn.XLOOKUP(P71,Sheet1!$B$2:$B$24,Sheet1!$A$2:$A$24,"NA",0,1)</f>
        <v>NA</v>
      </c>
      <c r="L71" s="3" t="str">
        <f>_xlfn.XLOOKUP(Q71,Sheet1!$B$2:$B$24,Sheet1!$A$2:$A$24,"NA",0,1)</f>
        <v>NA</v>
      </c>
      <c r="M71" s="3" t="str">
        <f>_xlfn.XLOOKUP(R71,Sheet1!$B$2:$B$24,Sheet1!$A$2:$A$24,"NA",0,1)</f>
        <v>NA</v>
      </c>
      <c r="N71" s="3" t="str">
        <f>_xlfn.XLOOKUP(S71,Sheet1!$B$2:$B$24,Sheet1!$A$2:$A$24,"NA",0,1)</f>
        <v>NA</v>
      </c>
    </row>
    <row r="72" spans="1:19" ht="30" x14ac:dyDescent="0.25">
      <c r="A72" s="3" t="s">
        <v>110</v>
      </c>
      <c r="B72" s="4">
        <v>46100</v>
      </c>
      <c r="C72" s="3" t="s">
        <v>113</v>
      </c>
      <c r="D72" s="3" t="s">
        <v>144</v>
      </c>
      <c r="E72" s="5" t="s">
        <v>91</v>
      </c>
      <c r="F72" s="5" t="s">
        <v>131</v>
      </c>
      <c r="G72" s="5" t="s">
        <v>126</v>
      </c>
      <c r="H72" s="5" t="s">
        <v>70</v>
      </c>
      <c r="I72" s="5" t="s">
        <v>71</v>
      </c>
      <c r="J72" s="3" t="str">
        <f>_xlfn.XLOOKUP(O72,Sheet1!$B$2:$B$24,Sheet1!$A$2:$A$24,"NA",0,1)</f>
        <v>NA</v>
      </c>
      <c r="K72" s="3" t="str">
        <f>_xlfn.XLOOKUP(P72,Sheet1!$B$2:$B$24,Sheet1!$A$2:$A$24,"NA",0,1)</f>
        <v>NA</v>
      </c>
      <c r="L72" s="3" t="str">
        <f>_xlfn.XLOOKUP(Q72,Sheet1!$B$2:$B$24,Sheet1!$A$2:$A$24,"NA",0,1)</f>
        <v>NA</v>
      </c>
      <c r="M72" s="3" t="str">
        <f>_xlfn.XLOOKUP(R72,Sheet1!$B$2:$B$24,Sheet1!$A$2:$A$24,"NA",0,1)</f>
        <v>NA</v>
      </c>
      <c r="N72" s="3" t="str">
        <f>_xlfn.XLOOKUP(S72,Sheet1!$B$2:$B$24,Sheet1!$A$2:$A$24,"NA",0,1)</f>
        <v>NA</v>
      </c>
    </row>
    <row r="73" spans="1:19" ht="30" x14ac:dyDescent="0.25">
      <c r="A73" s="3" t="s">
        <v>110</v>
      </c>
      <c r="B73" s="4">
        <v>46100</v>
      </c>
      <c r="C73" s="3" t="s">
        <v>113</v>
      </c>
      <c r="D73" s="3" t="s">
        <v>144</v>
      </c>
      <c r="E73" s="5" t="s">
        <v>91</v>
      </c>
      <c r="F73" s="5" t="s">
        <v>132</v>
      </c>
      <c r="G73" s="5" t="s">
        <v>126</v>
      </c>
      <c r="H73" s="5" t="s">
        <v>70</v>
      </c>
      <c r="I73" s="5" t="s">
        <v>71</v>
      </c>
      <c r="J73" s="3" t="str">
        <f>_xlfn.XLOOKUP(O73,Sheet1!$B$2:$B$24,Sheet1!$A$2:$A$24,"NA",0,1)</f>
        <v>NA</v>
      </c>
      <c r="K73" s="3" t="str">
        <f>_xlfn.XLOOKUP(P73,Sheet1!$B$2:$B$24,Sheet1!$A$2:$A$24,"NA",0,1)</f>
        <v>NA</v>
      </c>
      <c r="L73" s="3" t="str">
        <f>_xlfn.XLOOKUP(Q73,Sheet1!$B$2:$B$24,Sheet1!$A$2:$A$24,"NA",0,1)</f>
        <v>NA</v>
      </c>
      <c r="M73" s="3" t="str">
        <f>_xlfn.XLOOKUP(R73,Sheet1!$B$2:$B$24,Sheet1!$A$2:$A$24,"NA",0,1)</f>
        <v>NA</v>
      </c>
      <c r="N73" s="3" t="str">
        <f>_xlfn.XLOOKUP(S73,Sheet1!$B$2:$B$24,Sheet1!$A$2:$A$24,"NA",0,1)</f>
        <v>NA</v>
      </c>
    </row>
    <row r="74" spans="1:19" ht="30" x14ac:dyDescent="0.25">
      <c r="A74" s="3" t="s">
        <v>110</v>
      </c>
      <c r="B74" s="4">
        <v>46100</v>
      </c>
      <c r="C74" s="3" t="s">
        <v>113</v>
      </c>
      <c r="D74" s="3" t="s">
        <v>144</v>
      </c>
      <c r="E74" s="5" t="s">
        <v>91</v>
      </c>
      <c r="F74" s="5" t="s">
        <v>133</v>
      </c>
      <c r="G74" s="5" t="s">
        <v>126</v>
      </c>
      <c r="H74" s="5" t="s">
        <v>70</v>
      </c>
      <c r="I74" s="5" t="s">
        <v>71</v>
      </c>
      <c r="J74" s="3" t="str">
        <f>_xlfn.XLOOKUP(O74,Sheet1!$B$2:$B$24,Sheet1!$A$2:$A$24,"NA",0,1)</f>
        <v>NA</v>
      </c>
      <c r="K74" s="3" t="str">
        <f>_xlfn.XLOOKUP(P74,Sheet1!$B$2:$B$24,Sheet1!$A$2:$A$24,"NA",0,1)</f>
        <v>NA</v>
      </c>
      <c r="L74" s="3" t="str">
        <f>_xlfn.XLOOKUP(Q74,Sheet1!$B$2:$B$24,Sheet1!$A$2:$A$24,"NA",0,1)</f>
        <v>NA</v>
      </c>
      <c r="M74" s="3" t="str">
        <f>_xlfn.XLOOKUP(R74,Sheet1!$B$2:$B$24,Sheet1!$A$2:$A$24,"NA",0,1)</f>
        <v>NA</v>
      </c>
      <c r="N74" s="3" t="str">
        <f>_xlfn.XLOOKUP(S74,Sheet1!$B$2:$B$24,Sheet1!$A$2:$A$24,"NA",0,1)</f>
        <v>NA</v>
      </c>
    </row>
    <row r="75" spans="1:19" ht="30" x14ac:dyDescent="0.25">
      <c r="A75" s="3" t="s">
        <v>110</v>
      </c>
      <c r="B75" s="4">
        <v>46100</v>
      </c>
      <c r="C75" s="3" t="s">
        <v>113</v>
      </c>
      <c r="D75" s="3" t="s">
        <v>144</v>
      </c>
      <c r="E75" s="5" t="s">
        <v>53</v>
      </c>
      <c r="F75" s="5" t="s">
        <v>134</v>
      </c>
      <c r="G75" s="5" t="s">
        <v>126</v>
      </c>
      <c r="H75" s="5" t="s">
        <v>70</v>
      </c>
      <c r="I75" s="5" t="s">
        <v>71</v>
      </c>
      <c r="J75" s="3" t="str">
        <f>_xlfn.XLOOKUP(O75,Sheet1!$B$2:$B$24,Sheet1!$A$2:$A$24,"NA",0,1)</f>
        <v>NA</v>
      </c>
      <c r="K75" s="3" t="str">
        <f>_xlfn.XLOOKUP(P75,Sheet1!$B$2:$B$24,Sheet1!$A$2:$A$24,"NA",0,1)</f>
        <v>NA</v>
      </c>
      <c r="L75" s="3" t="str">
        <f>_xlfn.XLOOKUP(Q75,Sheet1!$B$2:$B$24,Sheet1!$A$2:$A$24,"NA",0,1)</f>
        <v>NA</v>
      </c>
      <c r="M75" s="3" t="str">
        <f>_xlfn.XLOOKUP(R75,Sheet1!$B$2:$B$24,Sheet1!$A$2:$A$24,"NA",0,1)</f>
        <v>NA</v>
      </c>
      <c r="N75" s="3" t="str">
        <f>_xlfn.XLOOKUP(S75,Sheet1!$B$2:$B$24,Sheet1!$A$2:$A$24,"NA",0,1)</f>
        <v>NA</v>
      </c>
    </row>
    <row r="76" spans="1:19" ht="30" x14ac:dyDescent="0.25">
      <c r="A76" s="3" t="s">
        <v>110</v>
      </c>
      <c r="B76" s="4">
        <v>46100</v>
      </c>
      <c r="C76" s="3" t="s">
        <v>113</v>
      </c>
      <c r="D76" s="3" t="s">
        <v>144</v>
      </c>
      <c r="E76" s="5" t="s">
        <v>53</v>
      </c>
      <c r="F76" s="5" t="s">
        <v>135</v>
      </c>
      <c r="G76" s="5" t="s">
        <v>126</v>
      </c>
      <c r="H76" s="5" t="s">
        <v>70</v>
      </c>
      <c r="I76" s="5" t="s">
        <v>71</v>
      </c>
      <c r="J76" s="3" t="str">
        <f>_xlfn.XLOOKUP(O76,Sheet1!$B$2:$B$24,Sheet1!$A$2:$A$24,"NA",0,1)</f>
        <v>NA</v>
      </c>
      <c r="K76" s="3" t="str">
        <f>_xlfn.XLOOKUP(P76,Sheet1!$B$2:$B$24,Sheet1!$A$2:$A$24,"NA",0,1)</f>
        <v>NA</v>
      </c>
      <c r="L76" s="3" t="str">
        <f>_xlfn.XLOOKUP(Q76,Sheet1!$B$2:$B$24,Sheet1!$A$2:$A$24,"NA",0,1)</f>
        <v>NA</v>
      </c>
      <c r="M76" s="3" t="str">
        <f>_xlfn.XLOOKUP(R76,Sheet1!$B$2:$B$24,Sheet1!$A$2:$A$24,"NA",0,1)</f>
        <v>NA</v>
      </c>
      <c r="N76" s="3" t="str">
        <f>_xlfn.XLOOKUP(S76,Sheet1!$B$2:$B$24,Sheet1!$A$2:$A$24,"NA",0,1)</f>
        <v>NA</v>
      </c>
    </row>
  </sheetData>
  <autoFilter ref="A1:I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EE1F-4AD1-4732-BCBA-BB5CCCBE94B0}">
  <dimension ref="A1:E66"/>
  <sheetViews>
    <sheetView workbookViewId="0">
      <selection activeCell="A23" sqref="A23"/>
    </sheetView>
  </sheetViews>
  <sheetFormatPr defaultRowHeight="15" x14ac:dyDescent="0.25"/>
  <cols>
    <col min="1" max="1" width="30.5703125" bestFit="1" customWidth="1"/>
    <col min="2" max="2" width="65.42578125" customWidth="1"/>
  </cols>
  <sheetData>
    <row r="1" spans="1:2" x14ac:dyDescent="0.25">
      <c r="A1" s="1" t="s">
        <v>151</v>
      </c>
      <c r="B1" s="1" t="s">
        <v>152</v>
      </c>
    </row>
    <row r="2" spans="1:2" x14ac:dyDescent="0.25">
      <c r="A2" s="2" t="s">
        <v>153</v>
      </c>
      <c r="B2" s="2" t="s">
        <v>18</v>
      </c>
    </row>
    <row r="3" spans="1:2" x14ac:dyDescent="0.25">
      <c r="A3" s="2" t="s">
        <v>153</v>
      </c>
      <c r="B3" s="2" t="s">
        <v>56</v>
      </c>
    </row>
    <row r="4" spans="1:2" x14ac:dyDescent="0.25">
      <c r="A4" s="2" t="s">
        <v>153</v>
      </c>
      <c r="B4" s="2" t="s">
        <v>26</v>
      </c>
    </row>
    <row r="5" spans="1:2" x14ac:dyDescent="0.25">
      <c r="A5" s="2" t="s">
        <v>153</v>
      </c>
      <c r="B5" s="2" t="s">
        <v>25</v>
      </c>
    </row>
    <row r="6" spans="1:2" x14ac:dyDescent="0.25">
      <c r="A6" s="2" t="s">
        <v>153</v>
      </c>
      <c r="B6" s="2" t="s">
        <v>28</v>
      </c>
    </row>
    <row r="7" spans="1:2" x14ac:dyDescent="0.25">
      <c r="A7" s="2" t="s">
        <v>154</v>
      </c>
      <c r="B7" s="2" t="s">
        <v>20</v>
      </c>
    </row>
    <row r="8" spans="1:2" x14ac:dyDescent="0.25">
      <c r="A8" s="2" t="s">
        <v>154</v>
      </c>
      <c r="B8" s="2" t="s">
        <v>19</v>
      </c>
    </row>
    <row r="9" spans="1:2" x14ac:dyDescent="0.25">
      <c r="A9" s="2" t="s">
        <v>154</v>
      </c>
      <c r="B9" s="2" t="s">
        <v>45</v>
      </c>
    </row>
    <row r="10" spans="1:2" x14ac:dyDescent="0.25">
      <c r="A10" s="2" t="s">
        <v>154</v>
      </c>
      <c r="B10" s="2" t="s">
        <v>46</v>
      </c>
    </row>
    <row r="11" spans="1:2" x14ac:dyDescent="0.25">
      <c r="A11" s="2" t="s">
        <v>155</v>
      </c>
      <c r="B11" s="2" t="s">
        <v>21</v>
      </c>
    </row>
    <row r="12" spans="1:2" x14ac:dyDescent="0.25">
      <c r="A12" s="2" t="s">
        <v>155</v>
      </c>
      <c r="B12" s="2" t="s">
        <v>24</v>
      </c>
    </row>
    <row r="13" spans="1:2" x14ac:dyDescent="0.25">
      <c r="A13" s="2" t="s">
        <v>155</v>
      </c>
      <c r="B13" s="2" t="s">
        <v>57</v>
      </c>
    </row>
    <row r="14" spans="1:2" x14ac:dyDescent="0.25">
      <c r="A14" s="2" t="s">
        <v>155</v>
      </c>
      <c r="B14" s="2" t="s">
        <v>49</v>
      </c>
    </row>
    <row r="15" spans="1:2" ht="30" x14ac:dyDescent="0.25">
      <c r="A15" s="2" t="s">
        <v>156</v>
      </c>
      <c r="B15" s="2" t="s">
        <v>34</v>
      </c>
    </row>
    <row r="16" spans="1:2" ht="30" x14ac:dyDescent="0.25">
      <c r="A16" s="2" t="s">
        <v>156</v>
      </c>
      <c r="B16" s="2" t="s">
        <v>58</v>
      </c>
    </row>
    <row r="17" spans="1:2" ht="30" x14ac:dyDescent="0.25">
      <c r="A17" s="2" t="s">
        <v>156</v>
      </c>
      <c r="B17" s="2" t="s">
        <v>30</v>
      </c>
    </row>
    <row r="18" spans="1:2" ht="30" x14ac:dyDescent="0.25">
      <c r="A18" s="2" t="s">
        <v>156</v>
      </c>
      <c r="B18" s="2" t="s">
        <v>44</v>
      </c>
    </row>
    <row r="19" spans="1:2" ht="30" x14ac:dyDescent="0.25">
      <c r="A19" s="2" t="s">
        <v>156</v>
      </c>
      <c r="B19" s="2" t="s">
        <v>41</v>
      </c>
    </row>
    <row r="20" spans="1:2" x14ac:dyDescent="0.25">
      <c r="A20" s="2" t="s">
        <v>157</v>
      </c>
      <c r="B20" s="2" t="s">
        <v>22</v>
      </c>
    </row>
    <row r="21" spans="1:2" x14ac:dyDescent="0.25">
      <c r="A21" s="2" t="s">
        <v>157</v>
      </c>
      <c r="B21" s="2" t="s">
        <v>35</v>
      </c>
    </row>
    <row r="22" spans="1:2" x14ac:dyDescent="0.25">
      <c r="A22" s="2" t="s">
        <v>157</v>
      </c>
      <c r="B22" s="2" t="s">
        <v>47</v>
      </c>
    </row>
    <row r="23" spans="1:2" ht="30" x14ac:dyDescent="0.25">
      <c r="A23" s="2" t="s">
        <v>158</v>
      </c>
      <c r="B23" s="2" t="s">
        <v>37</v>
      </c>
    </row>
    <row r="24" spans="1:2" ht="30" x14ac:dyDescent="0.25">
      <c r="A24" s="2" t="s">
        <v>158</v>
      </c>
      <c r="B24" s="2" t="s">
        <v>38</v>
      </c>
    </row>
    <row r="38" spans="2:5" x14ac:dyDescent="0.25">
      <c r="B38" s="3"/>
      <c r="C38" s="3"/>
      <c r="D38" s="3"/>
      <c r="E38" s="3"/>
    </row>
    <row r="39" spans="2:5" x14ac:dyDescent="0.25">
      <c r="B39" s="3"/>
      <c r="C39" s="3"/>
      <c r="D39" s="3"/>
      <c r="E39" s="3"/>
    </row>
    <row r="40" spans="2:5" x14ac:dyDescent="0.25">
      <c r="B40" s="3"/>
      <c r="C40" s="3"/>
      <c r="D40" s="3"/>
      <c r="E40" s="3"/>
    </row>
    <row r="41" spans="2:5" x14ac:dyDescent="0.25">
      <c r="B41" s="3"/>
      <c r="C41" s="3"/>
      <c r="D41" s="3"/>
      <c r="E41" s="3"/>
    </row>
    <row r="42" spans="2:5" x14ac:dyDescent="0.25">
      <c r="B42" s="3"/>
      <c r="C42" s="3"/>
      <c r="D42" s="3"/>
      <c r="E42" s="3"/>
    </row>
    <row r="43" spans="2:5" x14ac:dyDescent="0.25">
      <c r="B43" s="3"/>
      <c r="C43" s="3"/>
      <c r="D43" s="3"/>
      <c r="E43" s="3"/>
    </row>
    <row r="44" spans="2:5" x14ac:dyDescent="0.25">
      <c r="B44" s="3"/>
      <c r="C44" s="3"/>
      <c r="D44" s="3"/>
      <c r="E44" s="3"/>
    </row>
    <row r="45" spans="2:5" x14ac:dyDescent="0.25">
      <c r="B45" s="3"/>
      <c r="C45" s="3"/>
      <c r="D45" s="3"/>
      <c r="E45" s="3"/>
    </row>
    <row r="46" spans="2:5" x14ac:dyDescent="0.25">
      <c r="B46" s="3"/>
      <c r="C46" s="3"/>
      <c r="D46" s="3"/>
      <c r="E46" s="3"/>
    </row>
    <row r="47" spans="2:5" x14ac:dyDescent="0.25">
      <c r="B47" s="3"/>
      <c r="C47" s="3"/>
      <c r="D47" s="3"/>
      <c r="E47" s="3"/>
    </row>
    <row r="48" spans="2:5" x14ac:dyDescent="0.25">
      <c r="B48" s="3"/>
      <c r="C48" s="3"/>
      <c r="D48" s="3"/>
      <c r="E48" s="3"/>
    </row>
    <row r="49" spans="2:5" x14ac:dyDescent="0.25">
      <c r="B49" s="3"/>
      <c r="C49" s="3"/>
      <c r="D49" s="3"/>
      <c r="E49" s="3"/>
    </row>
    <row r="50" spans="2:5" x14ac:dyDescent="0.25">
      <c r="B50" s="3"/>
      <c r="C50" s="3"/>
      <c r="D50" s="3"/>
      <c r="E50" s="3"/>
    </row>
    <row r="51" spans="2:5" x14ac:dyDescent="0.25">
      <c r="B51" s="3"/>
      <c r="C51" s="3"/>
      <c r="D51" s="3"/>
      <c r="E51" s="3"/>
    </row>
    <row r="52" spans="2:5" x14ac:dyDescent="0.25">
      <c r="B52" s="3"/>
      <c r="C52" s="3"/>
      <c r="D52" s="3"/>
      <c r="E52" s="3"/>
    </row>
    <row r="53" spans="2:5" x14ac:dyDescent="0.25">
      <c r="B53" s="3"/>
      <c r="C53" s="3"/>
      <c r="D53" s="3"/>
      <c r="E53" s="3"/>
    </row>
    <row r="54" spans="2:5" x14ac:dyDescent="0.25">
      <c r="B54" s="3"/>
      <c r="C54" s="3"/>
      <c r="D54" s="3"/>
      <c r="E54" s="3"/>
    </row>
    <row r="55" spans="2:5" x14ac:dyDescent="0.25">
      <c r="B55" s="3"/>
      <c r="C55" s="3"/>
      <c r="D55" s="3"/>
      <c r="E55" s="3"/>
    </row>
    <row r="56" spans="2:5" x14ac:dyDescent="0.25">
      <c r="B56" s="3"/>
      <c r="C56" s="3"/>
      <c r="D56" s="3"/>
      <c r="E56" s="3"/>
    </row>
    <row r="57" spans="2:5" x14ac:dyDescent="0.25">
      <c r="B57" s="3"/>
      <c r="C57" s="3"/>
      <c r="D57" s="3"/>
      <c r="E57" s="3"/>
    </row>
    <row r="58" spans="2:5" x14ac:dyDescent="0.25">
      <c r="B58" s="3"/>
      <c r="C58" s="3"/>
      <c r="D58" s="3"/>
      <c r="E58" s="3"/>
    </row>
    <row r="59" spans="2:5" x14ac:dyDescent="0.25">
      <c r="B59" s="3"/>
      <c r="C59" s="3"/>
      <c r="D59" s="3"/>
      <c r="E59" s="3"/>
    </row>
    <row r="60" spans="2:5" x14ac:dyDescent="0.25">
      <c r="B60" s="3"/>
      <c r="C60" s="3"/>
      <c r="D60" s="3"/>
      <c r="E60" s="3"/>
    </row>
    <row r="61" spans="2:5" x14ac:dyDescent="0.25">
      <c r="B61" s="3"/>
      <c r="C61" s="3"/>
      <c r="D61" s="3"/>
      <c r="E61" s="3"/>
    </row>
    <row r="62" spans="2:5" x14ac:dyDescent="0.25">
      <c r="C62" s="5"/>
      <c r="D62" s="9"/>
      <c r="E62" s="9"/>
    </row>
    <row r="63" spans="2:5" x14ac:dyDescent="0.25">
      <c r="C63" s="5"/>
      <c r="D63" s="5"/>
      <c r="E63" s="5"/>
    </row>
    <row r="64" spans="2:5" x14ac:dyDescent="0.25">
      <c r="D64" s="5"/>
      <c r="E64" s="5"/>
    </row>
    <row r="65" spans="2:5" x14ac:dyDescent="0.25">
      <c r="C65" s="3"/>
      <c r="D65" s="5"/>
      <c r="E65" s="5"/>
    </row>
    <row r="66" spans="2:5" x14ac:dyDescent="0.25">
      <c r="B66" s="3"/>
      <c r="C66" s="3"/>
      <c r="D66" s="3"/>
      <c r="E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Master_TrCM_Database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 Satish</cp:lastModifiedBy>
  <dcterms:created xsi:type="dcterms:W3CDTF">2026-06-10T15:39:42Z</dcterms:created>
  <dcterms:modified xsi:type="dcterms:W3CDTF">2026-06-11T04:10:14Z</dcterms:modified>
</cp:coreProperties>
</file>