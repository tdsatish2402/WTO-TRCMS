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Streamlit Github WTO Database\WTO TRCM Database for TL101\"/>
    </mc:Choice>
  </mc:AlternateContent>
  <xr:revisionPtr revIDLastSave="0" documentId="13_ncr:1_{E9C72101-D28D-47DA-A835-B75C97CB155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Governance_Interactions" sheetId="1" r:id="rId1"/>
    <sheet name="Measure_Regist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2" i="1"/>
</calcChain>
</file>

<file path=xl/sharedStrings.xml><?xml version="1.0" encoding="utf-8"?>
<sst xmlns="http://schemas.openxmlformats.org/spreadsheetml/2006/main" count="890" uniqueCount="440">
  <si>
    <t>Interaction_ID</t>
  </si>
  <si>
    <t>Measure_ID</t>
  </si>
  <si>
    <t>WTO_Document</t>
  </si>
  <si>
    <t>WTO_Forum</t>
  </si>
  <si>
    <t>Measure</t>
  </si>
  <si>
    <t>Measure_Owner</t>
  </si>
  <si>
    <t>Engagement_Function</t>
  </si>
  <si>
    <t>Governance_Dimension_1</t>
  </si>
  <si>
    <t>Governance_Topic_1</t>
  </si>
  <si>
    <t>Governance_Dimension_2</t>
  </si>
  <si>
    <t>Governance_Topic_2</t>
  </si>
  <si>
    <t>Governance_Dimension_3</t>
  </si>
  <si>
    <t>Governance_Topic_3</t>
  </si>
  <si>
    <t>Governance_Dimension_4</t>
  </si>
  <si>
    <t>Governance_Topic_4</t>
  </si>
  <si>
    <t>Governance_Dimension_5</t>
  </si>
  <si>
    <t>Governance_Topic_5</t>
  </si>
  <si>
    <t>Reference_Page</t>
  </si>
  <si>
    <t>Reference_Paragraph</t>
  </si>
  <si>
    <t>Confidence</t>
  </si>
  <si>
    <t>Interaction_Summary</t>
  </si>
  <si>
    <t>GI-001</t>
  </si>
  <si>
    <t>M001</t>
  </si>
  <si>
    <t>WT/CTE/GEN/37/Rev.1</t>
  </si>
  <si>
    <t>CTE</t>
  </si>
  <si>
    <t>European Union</t>
  </si>
  <si>
    <t>Regulatory Update</t>
  </si>
  <si>
    <t>Regulatory</t>
  </si>
  <si>
    <t>Regulatory Architecture</t>
  </si>
  <si>
    <t>Scope Expansion</t>
  </si>
  <si>
    <t>Technical</t>
  </si>
  <si>
    <t>MRV</t>
  </si>
  <si>
    <t>Verification Framework</t>
  </si>
  <si>
    <t>Institutional</t>
  </si>
  <si>
    <t>Stakeholder Consultation</t>
  </si>
  <si>
    <t>1-2</t>
  </si>
  <si>
    <t>2-7</t>
  </si>
  <si>
    <t>CBAM revision package, scope expansion and implementation roadmap.</t>
  </si>
  <si>
    <t>GI-002</t>
  </si>
  <si>
    <t>Implementation Guidance</t>
  </si>
  <si>
    <t>Carbon Accounting</t>
  </si>
  <si>
    <t>Default Values</t>
  </si>
  <si>
    <t>Accreditation</t>
  </si>
  <si>
    <t>Mutual Recognition</t>
  </si>
  <si>
    <t>Implementation Framework</t>
  </si>
  <si>
    <t>2</t>
  </si>
  <si>
    <t>7</t>
  </si>
  <si>
    <t>Detailed implementing acts covering methodologies, accreditation and registry design.</t>
  </si>
  <si>
    <t>GI-003</t>
  </si>
  <si>
    <t>M002</t>
  </si>
  <si>
    <t>WT/CTE/GEN/41</t>
  </si>
  <si>
    <t>CBAM Carbon Price Deduction Rules</t>
  </si>
  <si>
    <t>Consultation Announcement</t>
  </si>
  <si>
    <t>Recognition of Foreign Carbon Pricing Systems</t>
  </si>
  <si>
    <t>Evidence Requirements</t>
  </si>
  <si>
    <t>Public Consultation</t>
  </si>
  <si>
    <t>Carbon Price Deduction</t>
  </si>
  <si>
    <t>Transparency</t>
  </si>
  <si>
    <t>1</t>
  </si>
  <si>
    <t>2-6</t>
  </si>
  <si>
    <t>Consultation on deduction of carbon prices paid in third countries.</t>
  </si>
  <si>
    <t>GI-004</t>
  </si>
  <si>
    <t>G/C/M/153</t>
  </si>
  <si>
    <t>CTG</t>
  </si>
  <si>
    <t>Argentina</t>
  </si>
  <si>
    <t>Concern Raising</t>
  </si>
  <si>
    <t>Legal</t>
  </si>
  <si>
    <t>WTO Consistency</t>
  </si>
  <si>
    <t>Development</t>
  </si>
  <si>
    <t>CBDR</t>
  </si>
  <si>
    <t>Economic</t>
  </si>
  <si>
    <t>Competitiveness</t>
  </si>
  <si>
    <t>Interoperability</t>
  </si>
  <si>
    <t>59-65</t>
  </si>
  <si>
    <t>10.3.14</t>
  </si>
  <si>
    <t>CBAM concerns raised in CTG.</t>
  </si>
  <si>
    <t>GI-005</t>
  </si>
  <si>
    <t>Brazil</t>
  </si>
  <si>
    <t>Compliance Costs</t>
  </si>
  <si>
    <t>Capacity Constraints</t>
  </si>
  <si>
    <t>CBAM implementation and methodology concerns.</t>
  </si>
  <si>
    <t>GI-006</t>
  </si>
  <si>
    <t>China</t>
  </si>
  <si>
    <t>Clarification Request</t>
  </si>
  <si>
    <t>Non-Discrimination</t>
  </si>
  <si>
    <t>Methodology</t>
  </si>
  <si>
    <t>Requested clarification on methodology.</t>
  </si>
  <si>
    <t>GI-007</t>
  </si>
  <si>
    <t>India</t>
  </si>
  <si>
    <t>Legal Challenge</t>
  </si>
  <si>
    <t>Extraterritoriality</t>
  </si>
  <si>
    <t>Recognition of Foreign Systems</t>
  </si>
  <si>
    <t>Raised concerns regarding unilateral effects of CBAM.</t>
  </si>
  <si>
    <t>GI-008</t>
  </si>
  <si>
    <t>M003</t>
  </si>
  <si>
    <t>Australia</t>
  </si>
  <si>
    <t>Regulatory Coherence</t>
  </si>
  <si>
    <t>Traceability</t>
  </si>
  <si>
    <t>65-73</t>
  </si>
  <si>
    <t>10.3.15</t>
  </si>
  <si>
    <t>Concerns regarding EUDR implementation.</t>
  </si>
  <si>
    <t>GI-009</t>
  </si>
  <si>
    <t>Regulatory Explanation</t>
  </si>
  <si>
    <t>Implementation Challenges</t>
  </si>
  <si>
    <t>Response and explanation concerning EUDR.</t>
  </si>
  <si>
    <t>M004</t>
  </si>
  <si>
    <t>G/TBT/M/97</t>
  </si>
  <si>
    <t>TBT</t>
  </si>
  <si>
    <t>Conformity Assessment</t>
  </si>
  <si>
    <t>International Standards</t>
  </si>
  <si>
    <t>Trade Facilitation</t>
  </si>
  <si>
    <t>M005</t>
  </si>
  <si>
    <t>5</t>
  </si>
  <si>
    <t>6</t>
  </si>
  <si>
    <t>GI-015</t>
  </si>
  <si>
    <t>M006</t>
  </si>
  <si>
    <t>United States</t>
  </si>
  <si>
    <t>Türkiye Recycled Plastics Regulation</t>
  </si>
  <si>
    <t>Türkiye</t>
  </si>
  <si>
    <t>Recognition of Foreign Regulatory Systems</t>
  </si>
  <si>
    <t>Transition Periods</t>
  </si>
  <si>
    <t>Scope Clarification</t>
  </si>
  <si>
    <t>2.3.3</t>
  </si>
  <si>
    <t>Requested clarification and recognition of FDA determinations.</t>
  </si>
  <si>
    <t>GI-016</t>
  </si>
  <si>
    <t>Regulatory Alignment</t>
  </si>
  <si>
    <t>Consultation Process</t>
  </si>
  <si>
    <t>6-7</t>
  </si>
  <si>
    <t>Explained alignment with EU rules and consultation process.</t>
  </si>
  <si>
    <t>M007</t>
  </si>
  <si>
    <t>Measure_Name</t>
  </si>
  <si>
    <t>Measure_Family</t>
  </si>
  <si>
    <t>Primary_Sector</t>
  </si>
  <si>
    <t>Status</t>
  </si>
  <si>
    <t>First_Document</t>
  </si>
  <si>
    <t>Description</t>
  </si>
  <si>
    <t>Carbon Border Adjustment Mechanism (CBAM)</t>
  </si>
  <si>
    <t>Carbon Measures</t>
  </si>
  <si>
    <t>Multi-sector</t>
  </si>
  <si>
    <t>In force</t>
  </si>
  <si>
    <t>Carbon border adjustment mechanism.</t>
  </si>
  <si>
    <t>Consultation</t>
  </si>
  <si>
    <t>Rules for deduction of carbon prices paid abroad.</t>
  </si>
  <si>
    <t>EU Deforestation Regulation (EUDR)</t>
  </si>
  <si>
    <t>Sustainability Regulation</t>
  </si>
  <si>
    <t>Agriculture/Forestry</t>
  </si>
  <si>
    <t>Deforestation-free commodities framework.</t>
  </si>
  <si>
    <t>Draft</t>
  </si>
  <si>
    <t>Circular Economy Measures</t>
  </si>
  <si>
    <t>Plastics</t>
  </si>
  <si>
    <t>Rules for recycled plastics in food contact materials.</t>
  </si>
  <si>
    <t>GI-019</t>
  </si>
  <si>
    <t>M008</t>
  </si>
  <si>
    <t>WT/MIN(26)/22/Add.2</t>
  </si>
  <si>
    <t>TESSD</t>
  </si>
  <si>
    <t>TESSD Working Group</t>
  </si>
  <si>
    <t>Compilation and Mapping of Trade-Related Climate Policies</t>
  </si>
  <si>
    <t>Multiple Members</t>
  </si>
  <si>
    <t>Measure Mapping</t>
  </si>
  <si>
    <t>Information Sharing</t>
  </si>
  <si>
    <t>Carbon Pricing</t>
  </si>
  <si>
    <t>Border Carbon Adjustments</t>
  </si>
  <si>
    <t>Carbon Measurement Standards</t>
  </si>
  <si>
    <t>Cooperation Framework</t>
  </si>
  <si>
    <t>1.1-3.4</t>
  </si>
  <si>
    <t>Compilation and mapping exercise covering trade-related climate measures and cooperation areas.</t>
  </si>
  <si>
    <t>GI-020</t>
  </si>
  <si>
    <t>Governance Reporting</t>
  </si>
  <si>
    <t>Technical Assistance</t>
  </si>
  <si>
    <t>Certification Schemes</t>
  </si>
  <si>
    <t>International Cooperation</t>
  </si>
  <si>
    <t>18-19</t>
  </si>
  <si>
    <t>3.1-3.4</t>
  </si>
  <si>
    <t>Identifies areas for cooperation including standards convergence, certification and capacity building.</t>
  </si>
  <si>
    <t>GI-021</t>
  </si>
  <si>
    <t>M009</t>
  </si>
  <si>
    <t>G/TFA/W/143</t>
  </si>
  <si>
    <t>TFA</t>
  </si>
  <si>
    <t>SVE Group</t>
  </si>
  <si>
    <t>Small Economies Trade Facilitation Work Programme</t>
  </si>
  <si>
    <t>Cooperation Proposal</t>
  </si>
  <si>
    <t>Digital Tools</t>
  </si>
  <si>
    <t>Dedicated Session</t>
  </si>
  <si>
    <t>Secretariat Coordination</t>
  </si>
  <si>
    <t>1.1-4.2</t>
  </si>
  <si>
    <t>Proposal for dedicated session on vulnerabilities, digitalization, transparency and traceability for small economies.</t>
  </si>
  <si>
    <t>GI-022</t>
  </si>
  <si>
    <t>M010</t>
  </si>
  <si>
    <t>INF/TE/IDP/W/20/Rev.3</t>
  </si>
  <si>
    <t>DPP</t>
  </si>
  <si>
    <t>DPP Coordinators</t>
  </si>
  <si>
    <t>Ministerial Statement on Plastic Pollution and Sustainable Plastics Trade</t>
  </si>
  <si>
    <t>DPP Members</t>
  </si>
  <si>
    <t>Monitoring</t>
  </si>
  <si>
    <t>Policy Alignment</t>
  </si>
  <si>
    <t>Ministerial Statement</t>
  </si>
  <si>
    <t>Shared understandings on plastics trade governance, traceability, policy coherence and capacity building.</t>
  </si>
  <si>
    <t>GI-023</t>
  </si>
  <si>
    <t>HS Classification Reform</t>
  </si>
  <si>
    <t>Single Use Plastics Regulation</t>
  </si>
  <si>
    <t>Standards</t>
  </si>
  <si>
    <t>Capacity Building</t>
  </si>
  <si>
    <t>Knowledge Sharing</t>
  </si>
  <si>
    <t>Technical Outcomes A-E</t>
  </si>
  <si>
    <t>Summarizes analytical work and future cooperation on plastics-related trade measures.</t>
  </si>
  <si>
    <t>M011</t>
  </si>
  <si>
    <t>GI-025</t>
  </si>
  <si>
    <t>M012</t>
  </si>
  <si>
    <t>GI-026</t>
  </si>
  <si>
    <t>M013</t>
  </si>
  <si>
    <t>Climate Governance Framework</t>
  </si>
  <si>
    <t>Living Document</t>
  </si>
  <si>
    <t>TESSD mapping and taxonomy of trade-related climate measures.</t>
  </si>
  <si>
    <t>Trade Facilitation Governance</t>
  </si>
  <si>
    <t>Cross-cutting</t>
  </si>
  <si>
    <t>Proposal</t>
  </si>
  <si>
    <t>Proposal on transparency, traceability and digital tools.</t>
  </si>
  <si>
    <t>Plastic Pollution Measures</t>
  </si>
  <si>
    <t>Ministerial Outcome</t>
  </si>
  <si>
    <t>Shared understandings on plastics trade and cooperation.</t>
  </si>
  <si>
    <t>Ongoing</t>
  </si>
  <si>
    <t>GI-027</t>
  </si>
  <si>
    <t>M014</t>
  </si>
  <si>
    <t>IP/C/M/115/Add.1</t>
  </si>
  <si>
    <t>TRIPS</t>
  </si>
  <si>
    <t>Biological Diversity Amendment Act 2023</t>
  </si>
  <si>
    <t>Notification</t>
  </si>
  <si>
    <t>Biodiversity Governance</t>
  </si>
  <si>
    <t>Access and Benefit Sharing</t>
  </si>
  <si>
    <t>Traditional Knowledge</t>
  </si>
  <si>
    <t>Notification regarding biodiversity resources and traditional knowledge.</t>
  </si>
  <si>
    <t>GI-028</t>
  </si>
  <si>
    <t>M015</t>
  </si>
  <si>
    <t>TRIPS-CBD Relationship</t>
  </si>
  <si>
    <t>Governance Discussion</t>
  </si>
  <si>
    <t>Disclosure Requirements</t>
  </si>
  <si>
    <t>18-23</t>
  </si>
  <si>
    <t>Agenda 5-6</t>
  </si>
  <si>
    <t>Discussion on biodiversity and traditional knowledge.</t>
  </si>
  <si>
    <t>GI-029</t>
  </si>
  <si>
    <t>M016</t>
  </si>
  <si>
    <t>WT/TPR/M/480/Add.1</t>
  </si>
  <si>
    <t>TPRB</t>
  </si>
  <si>
    <t>Singapore</t>
  </si>
  <si>
    <t>Thailand</t>
  </si>
  <si>
    <t>ESG Standards</t>
  </si>
  <si>
    <t>Sustainable Development</t>
  </si>
  <si>
    <t>8</t>
  </si>
  <si>
    <t>Q13</t>
  </si>
  <si>
    <t>GI-030</t>
  </si>
  <si>
    <t>Q13 Reply</t>
  </si>
  <si>
    <t>GI-031</t>
  </si>
  <si>
    <t>M017</t>
  </si>
  <si>
    <t>GMO Labelling Requirements</t>
  </si>
  <si>
    <t>Consumer Information</t>
  </si>
  <si>
    <t>11</t>
  </si>
  <si>
    <t>Q20</t>
  </si>
  <si>
    <t>Question on GMO labelling implementation.</t>
  </si>
  <si>
    <t>GI-032</t>
  </si>
  <si>
    <t>M018</t>
  </si>
  <si>
    <t>GI-033</t>
  </si>
  <si>
    <t>M019</t>
  </si>
  <si>
    <t>S/C/M/164</t>
  </si>
  <si>
    <t>CTS</t>
  </si>
  <si>
    <t>Council for Trade in Services</t>
  </si>
  <si>
    <t>Thematic Session</t>
  </si>
  <si>
    <t>Green Services</t>
  </si>
  <si>
    <t>Green Growth</t>
  </si>
  <si>
    <t>2-3</t>
  </si>
  <si>
    <t>4.2-4.3</t>
  </si>
  <si>
    <t>Thematic session on Green Services Economy and Sustainable Development.</t>
  </si>
  <si>
    <t>GI-034</t>
  </si>
  <si>
    <t>United Kingdom</t>
  </si>
  <si>
    <t>Policy Intervention</t>
  </si>
  <si>
    <t>Standards Fragmentation</t>
  </si>
  <si>
    <t>Climate Services</t>
  </si>
  <si>
    <t>3</t>
  </si>
  <si>
    <t>4.4-4.6</t>
  </si>
  <si>
    <t>Discussion of opportunities and barriers in green services.</t>
  </si>
  <si>
    <t>GI-035</t>
  </si>
  <si>
    <t>Bangladesh</t>
  </si>
  <si>
    <t>Energy Transition</t>
  </si>
  <si>
    <t>WTO Role</t>
  </si>
  <si>
    <t>4</t>
  </si>
  <si>
    <t>4.12</t>
  </si>
  <si>
    <t>Development perspective on clean energy transition.</t>
  </si>
  <si>
    <t>GI-036</t>
  </si>
  <si>
    <t>M020</t>
  </si>
  <si>
    <t>WT/COMTD/SE/13</t>
  </si>
  <si>
    <t>CTD</t>
  </si>
  <si>
    <t>Green Supply Chains for Development</t>
  </si>
  <si>
    <t>Green Supply Chains</t>
  </si>
  <si>
    <t>Small Economies</t>
  </si>
  <si>
    <t>2.3</t>
  </si>
  <si>
    <t>Green supply chains session for small economies.</t>
  </si>
  <si>
    <t>GI-037</t>
  </si>
  <si>
    <t>M021</t>
  </si>
  <si>
    <t>Secretariat</t>
  </si>
  <si>
    <t>Trade and Climate Change in Small Economies</t>
  </si>
  <si>
    <t>Climate Resilience</t>
  </si>
  <si>
    <t>Trade and Climate Linkages</t>
  </si>
  <si>
    <t>International Support</t>
  </si>
  <si>
    <t>2.6</t>
  </si>
  <si>
    <t>Report on trade and climate change in small economies.</t>
  </si>
  <si>
    <t>Biodiversity Measure</t>
  </si>
  <si>
    <t>Cross-sector</t>
  </si>
  <si>
    <t>In Force</t>
  </si>
  <si>
    <t>Biodiversity governance measure</t>
  </si>
  <si>
    <t>TRIPS and biodiversity discussions</t>
  </si>
  <si>
    <t>Policy Framework</t>
  </si>
  <si>
    <t>Sustainability Labelling</t>
  </si>
  <si>
    <t>Agrifood</t>
  </si>
  <si>
    <t>GMO and food labelling</t>
  </si>
  <si>
    <t>Green Services Economy and Sustainable Development</t>
  </si>
  <si>
    <t>Services</t>
  </si>
  <si>
    <t>CTS thematic discussions</t>
  </si>
  <si>
    <t>Sustainable Supply Chains</t>
  </si>
  <si>
    <t>Green supply chains</t>
  </si>
  <si>
    <t>Climate Governance</t>
  </si>
  <si>
    <t>Report</t>
  </si>
  <si>
    <t>Trade-climate linkages</t>
  </si>
  <si>
    <t>GI-038</t>
  </si>
  <si>
    <t>M022</t>
  </si>
  <si>
    <t>WT/COMTD/SE/M/52</t>
  </si>
  <si>
    <t>CTD-SVE</t>
  </si>
  <si>
    <t>ACP Group</t>
  </si>
  <si>
    <t>Small Economies Work Programme</t>
  </si>
  <si>
    <t>Support Statement</t>
  </si>
  <si>
    <t>Climate Vulnerability</t>
  </si>
  <si>
    <t>Monitoring of Trade Challenges</t>
  </si>
  <si>
    <t>9</t>
  </si>
  <si>
    <t>ACP Group links climate vulnerability and trade integration challenges facing small economies.</t>
  </si>
  <si>
    <t>GI-039</t>
  </si>
  <si>
    <t>Mauritius</t>
  </si>
  <si>
    <t>Supply Chain Resilience</t>
  </si>
  <si>
    <t>Structural Constraints</t>
  </si>
  <si>
    <t>14-15</t>
  </si>
  <si>
    <t>Highlights climatic emergencies and supply-chain vulnerabilities affecting SVEs.</t>
  </si>
  <si>
    <t>GI-040</t>
  </si>
  <si>
    <t>WT/GC/W/986</t>
  </si>
  <si>
    <t>General Council</t>
  </si>
  <si>
    <t>WTO Reform and Climate-Related Measures</t>
  </si>
  <si>
    <t>Reform Proposal</t>
  </si>
  <si>
    <t>WTO Reform</t>
  </si>
  <si>
    <t>Climate-Related Measures</t>
  </si>
  <si>
    <t>Committee Monitoring</t>
  </si>
  <si>
    <t>Predictability Section</t>
  </si>
  <si>
    <t>EU identifies climate-related measures as a central contemporary trade governance challenge.</t>
  </si>
  <si>
    <t>GI-041</t>
  </si>
  <si>
    <t>Governance Proposal</t>
  </si>
  <si>
    <t>Peer Review</t>
  </si>
  <si>
    <t>Committee Dialogue</t>
  </si>
  <si>
    <t>Monitoring Functions</t>
  </si>
  <si>
    <t>Highlights WTO committees and transparency functions as governance mechanisms.</t>
  </si>
  <si>
    <t>GI-042</t>
  </si>
  <si>
    <t>WT/MIN(26)/8</t>
  </si>
  <si>
    <t>Ministerial Conference</t>
  </si>
  <si>
    <t>Climate-Related Food Security Cooperation</t>
  </si>
  <si>
    <t>ACP Members</t>
  </si>
  <si>
    <t>Ministerial Declaration</t>
  </si>
  <si>
    <t>Food Security</t>
  </si>
  <si>
    <t>2.4.8</t>
  </si>
  <si>
    <t>Calls for cooperation to address climate-related food security challenges.</t>
  </si>
  <si>
    <t>GI-043</t>
  </si>
  <si>
    <t>Digital Services</t>
  </si>
  <si>
    <t>Sustainability Know-how</t>
  </si>
  <si>
    <t>Requests access to sustainability technologies and digital services.</t>
  </si>
  <si>
    <t>GI-044</t>
  </si>
  <si>
    <t>Sustainable Trade and Investment Integration</t>
  </si>
  <si>
    <t>Sustainable Trade</t>
  </si>
  <si>
    <t>Aid for Trade</t>
  </si>
  <si>
    <t>1.2.4</t>
  </si>
  <si>
    <t>Calls for technical assistance supporting sustainable trade and investment integration.</t>
  </si>
  <si>
    <t>GI-045</t>
  </si>
  <si>
    <t>WT/GC/M/222</t>
  </si>
  <si>
    <t>Director-General/TNC</t>
  </si>
  <si>
    <t>Climate Governance Negotiations</t>
  </si>
  <si>
    <t>Committee Processes</t>
  </si>
  <si>
    <t>11-13</t>
  </si>
  <si>
    <t>2.7(a)-2.13(a)</t>
  </si>
  <si>
    <t>Reports status of CTE and TRIPS Special Session negotiations and future work.</t>
  </si>
  <si>
    <t>Climate Resilience Governance</t>
  </si>
  <si>
    <t>Work programme addressing climate vulnerability of small economies</t>
  </si>
  <si>
    <t>EU proposal linking WTO reform and climate-related measures</t>
  </si>
  <si>
    <t>Climate and Food Security</t>
  </si>
  <si>
    <t>Agriculture</t>
  </si>
  <si>
    <t>Climate-related food security cooperation measures</t>
  </si>
  <si>
    <t>Technical assistance and sustainable trade integration</t>
  </si>
  <si>
    <t>CTE and TRIPS Special Session Process</t>
  </si>
  <si>
    <t>WTO Climate Governance</t>
  </si>
  <si>
    <t>Status and future of WTO environment-related negotiations</t>
  </si>
  <si>
    <t>Thailand Climate Change Act</t>
  </si>
  <si>
    <t>Carbon Pricing Framework</t>
  </si>
  <si>
    <t>Economy-wide</t>
  </si>
  <si>
    <t>Draft Legislation</t>
  </si>
  <si>
    <t>Framework legislation covering ETS, carbon tax, carbon credits and related climate governance measures.</t>
  </si>
  <si>
    <t>EU and UK CBAM/ETS Influence</t>
  </si>
  <si>
    <t>European Union / United Kingdom</t>
  </si>
  <si>
    <t>Border Carbon Adjustment</t>
  </si>
  <si>
    <t>External Reference</t>
  </si>
  <si>
    <t>Use of EU and UK carbon governance frameworks as reference points for Thai climate policy development.</t>
  </si>
  <si>
    <t>ESG Integration into Trade Policy</t>
  </si>
  <si>
    <t>Sustainable Trade Governance</t>
  </si>
  <si>
    <t>Integration of ESG and sustainability considerations into trade-related policymaking.</t>
  </si>
  <si>
    <t>Bonsucro Sustainability Standard</t>
  </si>
  <si>
    <t>Sustainability Certification</t>
  </si>
  <si>
    <t>Agriculture/Bioeconomy</t>
  </si>
  <si>
    <t>Applied Standard</t>
  </si>
  <si>
    <t>Use of Bonsucro sustainability standards in sugar and bioeconomy sectors.</t>
  </si>
  <si>
    <t>GI-046</t>
  </si>
  <si>
    <t>ETS</t>
  </si>
  <si>
    <t>Carbon Tax</t>
  </si>
  <si>
    <t>Carbon Credits</t>
  </si>
  <si>
    <t>13</t>
  </si>
  <si>
    <t>Q25</t>
  </si>
  <si>
    <t>Question regarding Thailand's Climate Change Act and carbon pricing architecture.</t>
  </si>
  <si>
    <t>GI-047</t>
  </si>
  <si>
    <t>Climate Legislation</t>
  </si>
  <si>
    <t>Q25 Reply</t>
  </si>
  <si>
    <t>Thailand explains design of Climate Change Act and climate governance mechanisms.</t>
  </si>
  <si>
    <t>Policy Learning</t>
  </si>
  <si>
    <t>Policy Diffusion</t>
  </si>
  <si>
    <t>Regulatory Learning</t>
  </si>
  <si>
    <t>Domestic Adaptation</t>
  </si>
  <si>
    <t>Thailand studying EU and UK CBAM and ETS experiences for domestic implementation.</t>
  </si>
  <si>
    <t>Trade Policy Integration</t>
  </si>
  <si>
    <t>Question regarding integration of ESG principles into trade policy.</t>
  </si>
  <si>
    <t>Investment Promotion</t>
  </si>
  <si>
    <t>Cooperation Initiatives</t>
  </si>
  <si>
    <t>Thailand explains sustainability-related considerations in trade policy.</t>
  </si>
  <si>
    <t>Sustainability Standards</t>
  </si>
  <si>
    <t>Certification</t>
  </si>
  <si>
    <t>Bioeconomy Governance</t>
  </si>
  <si>
    <t>12</t>
  </si>
  <si>
    <t>Q24</t>
  </si>
  <si>
    <t>Question regarding international sustainability standards in bioplastics and bioindustry sectors.</t>
  </si>
  <si>
    <t>12-13</t>
  </si>
  <si>
    <t>Q24 Reply</t>
  </si>
  <si>
    <t>Thailand references Bonsucro standard for sustainable sugarcane and sugar production.</t>
  </si>
  <si>
    <t>Participant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</si>
</sst>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0"/>
  <sheetViews>
    <sheetView tabSelected="1" topLeftCell="B1" workbookViewId="0">
      <selection activeCell="E3" sqref="E3"/>
    </sheetView>
  </sheetViews>
  <sheetFormatPr defaultRowHeight="15" x14ac:dyDescent="0.25"/>
  <cols>
    <col min="1" max="1" width="13.7109375" bestFit="1" customWidth="1"/>
    <col min="2" max="2" width="11.7109375" bestFit="1" customWidth="1"/>
    <col min="3" max="3" width="21.42578125" bestFit="1" customWidth="1"/>
    <col min="4" max="4" width="12.140625" bestFit="1" customWidth="1"/>
    <col min="5" max="5" width="16.7109375" bestFit="1" customWidth="1"/>
    <col min="6" max="6" width="33.5703125" bestFit="1" customWidth="1"/>
    <col min="7" max="7" width="16" bestFit="1" customWidth="1"/>
    <col min="8" max="8" width="27" bestFit="1" customWidth="1"/>
    <col min="9" max="9" width="24.7109375" bestFit="1" customWidth="1"/>
    <col min="10" max="10" width="43" bestFit="1" customWidth="1"/>
    <col min="11" max="11" width="24.7109375" bestFit="1" customWidth="1"/>
    <col min="12" max="12" width="23.85546875" bestFit="1" customWidth="1"/>
    <col min="13" max="13" width="24.7109375" bestFit="1" customWidth="1"/>
    <col min="14" max="14" width="35.140625" bestFit="1" customWidth="1"/>
    <col min="15" max="15" width="24.7109375" bestFit="1" customWidth="1"/>
    <col min="16" max="16" width="22.28515625" bestFit="1" customWidth="1"/>
    <col min="17" max="17" width="24.7109375" bestFit="1" customWidth="1"/>
    <col min="18" max="18" width="29.28515625" bestFit="1" customWidth="1"/>
    <col min="19" max="19" width="15.5703125" bestFit="1" customWidth="1"/>
    <col min="20" max="20" width="20.28515625" bestFit="1" customWidth="1"/>
    <col min="21" max="21" width="11.140625" bestFit="1" customWidth="1"/>
    <col min="22" max="22" width="80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439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5">
      <c r="A2" t="s">
        <v>21</v>
      </c>
      <c r="B2" t="str">
        <f>_xlfn.XLOOKUP(F2,Measure_Register!B:B,Measure_Register!A:A,"NA",0,1)</f>
        <v>M001</v>
      </c>
      <c r="C2" t="s">
        <v>23</v>
      </c>
      <c r="D2" t="s">
        <v>24</v>
      </c>
      <c r="E2" t="s">
        <v>25</v>
      </c>
      <c r="F2" t="s">
        <v>136</v>
      </c>
      <c r="G2" t="s">
        <v>25</v>
      </c>
      <c r="H2" t="s">
        <v>26</v>
      </c>
      <c r="I2" t="s">
        <v>27</v>
      </c>
      <c r="J2" t="s">
        <v>28</v>
      </c>
      <c r="K2" t="s">
        <v>27</v>
      </c>
      <c r="L2" t="s">
        <v>29</v>
      </c>
      <c r="M2" t="s">
        <v>30</v>
      </c>
      <c r="N2" t="s">
        <v>31</v>
      </c>
      <c r="O2" t="s">
        <v>30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>
        <v>100</v>
      </c>
      <c r="V2" t="s">
        <v>37</v>
      </c>
    </row>
    <row r="3" spans="1:22" x14ac:dyDescent="0.25">
      <c r="A3" t="s">
        <v>38</v>
      </c>
      <c r="B3" t="str">
        <f>_xlfn.XLOOKUP(F3,Measure_Register!B:B,Measure_Register!A:A,"NA",0,1)</f>
        <v>M001</v>
      </c>
      <c r="C3" t="s">
        <v>23</v>
      </c>
      <c r="D3" t="s">
        <v>24</v>
      </c>
      <c r="E3" t="s">
        <v>25</v>
      </c>
      <c r="F3" t="s">
        <v>136</v>
      </c>
      <c r="G3" t="s">
        <v>25</v>
      </c>
      <c r="H3" t="s">
        <v>39</v>
      </c>
      <c r="I3" t="s">
        <v>30</v>
      </c>
      <c r="J3" t="s">
        <v>40</v>
      </c>
      <c r="K3" t="s">
        <v>30</v>
      </c>
      <c r="L3" t="s">
        <v>41</v>
      </c>
      <c r="M3" t="s">
        <v>27</v>
      </c>
      <c r="N3" t="s">
        <v>42</v>
      </c>
      <c r="O3" t="s">
        <v>27</v>
      </c>
      <c r="P3" t="s">
        <v>43</v>
      </c>
      <c r="Q3" t="s">
        <v>33</v>
      </c>
      <c r="R3" t="s">
        <v>44</v>
      </c>
      <c r="S3" t="s">
        <v>45</v>
      </c>
      <c r="T3" t="s">
        <v>46</v>
      </c>
      <c r="U3">
        <v>100</v>
      </c>
      <c r="V3" t="s">
        <v>47</v>
      </c>
    </row>
    <row r="4" spans="1:22" x14ac:dyDescent="0.25">
      <c r="A4" t="s">
        <v>48</v>
      </c>
      <c r="B4" t="str">
        <f>_xlfn.XLOOKUP(F4,Measure_Register!B:B,Measure_Register!A:A,"NA",0,1)</f>
        <v>M002</v>
      </c>
      <c r="C4" t="s">
        <v>50</v>
      </c>
      <c r="D4" t="s">
        <v>24</v>
      </c>
      <c r="E4" t="s">
        <v>25</v>
      </c>
      <c r="F4" t="s">
        <v>51</v>
      </c>
      <c r="G4" t="s">
        <v>25</v>
      </c>
      <c r="H4" t="s">
        <v>52</v>
      </c>
      <c r="I4" t="s">
        <v>27</v>
      </c>
      <c r="J4" t="s">
        <v>53</v>
      </c>
      <c r="K4" t="s">
        <v>30</v>
      </c>
      <c r="L4" t="s">
        <v>54</v>
      </c>
      <c r="M4" t="s">
        <v>33</v>
      </c>
      <c r="N4" t="s">
        <v>55</v>
      </c>
      <c r="O4" t="s">
        <v>27</v>
      </c>
      <c r="P4" t="s">
        <v>56</v>
      </c>
      <c r="Q4" t="s">
        <v>33</v>
      </c>
      <c r="R4" t="s">
        <v>57</v>
      </c>
      <c r="S4" t="s">
        <v>58</v>
      </c>
      <c r="T4" t="s">
        <v>59</v>
      </c>
      <c r="U4">
        <v>100</v>
      </c>
      <c r="V4" t="s">
        <v>60</v>
      </c>
    </row>
    <row r="5" spans="1:22" x14ac:dyDescent="0.25">
      <c r="A5" t="s">
        <v>61</v>
      </c>
      <c r="B5" t="str">
        <f>_xlfn.XLOOKUP(F5,Measure_Register!B:B,Measure_Register!A:A,"NA",0,1)</f>
        <v>M001</v>
      </c>
      <c r="C5" t="s">
        <v>62</v>
      </c>
      <c r="D5" t="s">
        <v>63</v>
      </c>
      <c r="E5" t="s">
        <v>64</v>
      </c>
      <c r="F5" t="s">
        <v>136</v>
      </c>
      <c r="G5" t="s">
        <v>25</v>
      </c>
      <c r="H5" t="s">
        <v>65</v>
      </c>
      <c r="I5" t="s">
        <v>66</v>
      </c>
      <c r="J5" t="s">
        <v>67</v>
      </c>
      <c r="K5" t="s">
        <v>68</v>
      </c>
      <c r="L5" t="s">
        <v>69</v>
      </c>
      <c r="M5" t="s">
        <v>70</v>
      </c>
      <c r="N5" t="s">
        <v>71</v>
      </c>
      <c r="O5" t="s">
        <v>27</v>
      </c>
      <c r="P5" t="s">
        <v>72</v>
      </c>
      <c r="S5" t="s">
        <v>73</v>
      </c>
      <c r="T5" t="s">
        <v>74</v>
      </c>
      <c r="U5">
        <v>90</v>
      </c>
      <c r="V5" t="s">
        <v>75</v>
      </c>
    </row>
    <row r="6" spans="1:22" x14ac:dyDescent="0.25">
      <c r="A6" t="s">
        <v>76</v>
      </c>
      <c r="B6" t="str">
        <f>_xlfn.XLOOKUP(F6,Measure_Register!B:B,Measure_Register!A:A,"NA",0,1)</f>
        <v>M001</v>
      </c>
      <c r="C6" t="s">
        <v>62</v>
      </c>
      <c r="D6" t="s">
        <v>63</v>
      </c>
      <c r="E6" t="s">
        <v>77</v>
      </c>
      <c r="F6" t="s">
        <v>136</v>
      </c>
      <c r="G6" t="s">
        <v>25</v>
      </c>
      <c r="H6" t="s">
        <v>65</v>
      </c>
      <c r="I6" t="s">
        <v>30</v>
      </c>
      <c r="J6" t="s">
        <v>31</v>
      </c>
      <c r="K6" t="s">
        <v>27</v>
      </c>
      <c r="L6" t="s">
        <v>72</v>
      </c>
      <c r="M6" t="s">
        <v>70</v>
      </c>
      <c r="N6" t="s">
        <v>78</v>
      </c>
      <c r="O6" t="s">
        <v>68</v>
      </c>
      <c r="P6" t="s">
        <v>79</v>
      </c>
      <c r="S6" t="s">
        <v>73</v>
      </c>
      <c r="T6" t="s">
        <v>74</v>
      </c>
      <c r="U6">
        <v>90</v>
      </c>
      <c r="V6" t="s">
        <v>80</v>
      </c>
    </row>
    <row r="7" spans="1:22" x14ac:dyDescent="0.25">
      <c r="A7" t="s">
        <v>81</v>
      </c>
      <c r="B7" t="str">
        <f>_xlfn.XLOOKUP(F7,Measure_Register!B:B,Measure_Register!A:A,"NA",0,1)</f>
        <v>M001</v>
      </c>
      <c r="C7" t="s">
        <v>62</v>
      </c>
      <c r="D7" t="s">
        <v>63</v>
      </c>
      <c r="E7" t="s">
        <v>82</v>
      </c>
      <c r="F7" t="s">
        <v>136</v>
      </c>
      <c r="G7" t="s">
        <v>25</v>
      </c>
      <c r="H7" t="s">
        <v>83</v>
      </c>
      <c r="I7" t="s">
        <v>66</v>
      </c>
      <c r="J7" t="s">
        <v>84</v>
      </c>
      <c r="K7" t="s">
        <v>30</v>
      </c>
      <c r="L7" t="s">
        <v>85</v>
      </c>
      <c r="M7" t="s">
        <v>30</v>
      </c>
      <c r="N7" t="s">
        <v>41</v>
      </c>
      <c r="O7" t="s">
        <v>27</v>
      </c>
      <c r="P7" t="s">
        <v>57</v>
      </c>
      <c r="S7" t="s">
        <v>73</v>
      </c>
      <c r="T7" t="s">
        <v>74</v>
      </c>
      <c r="U7">
        <v>95</v>
      </c>
      <c r="V7" t="s">
        <v>86</v>
      </c>
    </row>
    <row r="8" spans="1:22" x14ac:dyDescent="0.25">
      <c r="A8" t="s">
        <v>87</v>
      </c>
      <c r="B8" t="str">
        <f>_xlfn.XLOOKUP(F8,Measure_Register!B:B,Measure_Register!A:A,"NA",0,1)</f>
        <v>M001</v>
      </c>
      <c r="C8" t="s">
        <v>62</v>
      </c>
      <c r="D8" t="s">
        <v>63</v>
      </c>
      <c r="E8" t="s">
        <v>88</v>
      </c>
      <c r="F8" t="s">
        <v>136</v>
      </c>
      <c r="G8" t="s">
        <v>25</v>
      </c>
      <c r="H8" t="s">
        <v>89</v>
      </c>
      <c r="I8" t="s">
        <v>66</v>
      </c>
      <c r="J8" t="s">
        <v>90</v>
      </c>
      <c r="K8" t="s">
        <v>66</v>
      </c>
      <c r="L8" t="s">
        <v>67</v>
      </c>
      <c r="M8" t="s">
        <v>68</v>
      </c>
      <c r="N8" t="s">
        <v>69</v>
      </c>
      <c r="O8" t="s">
        <v>70</v>
      </c>
      <c r="P8" t="s">
        <v>71</v>
      </c>
      <c r="Q8" t="s">
        <v>27</v>
      </c>
      <c r="R8" t="s">
        <v>91</v>
      </c>
      <c r="S8" t="s">
        <v>73</v>
      </c>
      <c r="T8" t="s">
        <v>74</v>
      </c>
      <c r="U8">
        <v>95</v>
      </c>
      <c r="V8" t="s">
        <v>92</v>
      </c>
    </row>
    <row r="9" spans="1:22" x14ac:dyDescent="0.25">
      <c r="A9" t="s">
        <v>93</v>
      </c>
      <c r="B9" t="str">
        <f>_xlfn.XLOOKUP(F9,Measure_Register!B:B,Measure_Register!A:A,"NA",0,1)</f>
        <v>M003</v>
      </c>
      <c r="C9" t="s">
        <v>62</v>
      </c>
      <c r="D9" t="s">
        <v>63</v>
      </c>
      <c r="E9" t="s">
        <v>95</v>
      </c>
      <c r="F9" t="s">
        <v>143</v>
      </c>
      <c r="G9" t="s">
        <v>25</v>
      </c>
      <c r="H9" t="s">
        <v>65</v>
      </c>
      <c r="I9" t="s">
        <v>70</v>
      </c>
      <c r="J9" t="s">
        <v>78</v>
      </c>
      <c r="K9" t="s">
        <v>27</v>
      </c>
      <c r="L9" t="s">
        <v>96</v>
      </c>
      <c r="M9" t="s">
        <v>30</v>
      </c>
      <c r="N9" t="s">
        <v>97</v>
      </c>
      <c r="O9" t="s">
        <v>68</v>
      </c>
      <c r="P9" t="s">
        <v>79</v>
      </c>
      <c r="S9" t="s">
        <v>98</v>
      </c>
      <c r="T9" t="s">
        <v>99</v>
      </c>
      <c r="U9">
        <v>95</v>
      </c>
      <c r="V9" t="s">
        <v>100</v>
      </c>
    </row>
    <row r="10" spans="1:22" x14ac:dyDescent="0.25">
      <c r="A10" t="s">
        <v>101</v>
      </c>
      <c r="B10" t="str">
        <f>_xlfn.XLOOKUP(F10,Measure_Register!B:B,Measure_Register!A:A,"NA",0,1)</f>
        <v>M003</v>
      </c>
      <c r="C10" t="s">
        <v>62</v>
      </c>
      <c r="D10" t="s">
        <v>63</v>
      </c>
      <c r="E10" t="s">
        <v>25</v>
      </c>
      <c r="F10" t="s">
        <v>143</v>
      </c>
      <c r="G10" t="s">
        <v>25</v>
      </c>
      <c r="H10" t="s">
        <v>102</v>
      </c>
      <c r="I10" t="s">
        <v>33</v>
      </c>
      <c r="J10" t="s">
        <v>103</v>
      </c>
      <c r="K10" t="s">
        <v>27</v>
      </c>
      <c r="L10" t="s">
        <v>96</v>
      </c>
      <c r="M10" t="s">
        <v>30</v>
      </c>
      <c r="N10" t="s">
        <v>97</v>
      </c>
      <c r="S10" t="s">
        <v>98</v>
      </c>
      <c r="T10" t="s">
        <v>99</v>
      </c>
      <c r="U10">
        <v>95</v>
      </c>
      <c r="V10" t="s">
        <v>104</v>
      </c>
    </row>
    <row r="11" spans="1:22" x14ac:dyDescent="0.25">
      <c r="A11" t="s">
        <v>114</v>
      </c>
      <c r="B11" t="str">
        <f>_xlfn.XLOOKUP(F11,Measure_Register!B:B,Measure_Register!A:A,"NA",0,1)</f>
        <v>M004</v>
      </c>
      <c r="C11" t="s">
        <v>106</v>
      </c>
      <c r="D11" t="s">
        <v>107</v>
      </c>
      <c r="E11" t="s">
        <v>116</v>
      </c>
      <c r="F11" t="s">
        <v>117</v>
      </c>
      <c r="G11" t="s">
        <v>118</v>
      </c>
      <c r="H11" t="s">
        <v>83</v>
      </c>
      <c r="I11" t="s">
        <v>27</v>
      </c>
      <c r="J11" t="s">
        <v>119</v>
      </c>
      <c r="K11" t="s">
        <v>30</v>
      </c>
      <c r="L11" t="s">
        <v>97</v>
      </c>
      <c r="M11" t="s">
        <v>33</v>
      </c>
      <c r="N11" t="s">
        <v>120</v>
      </c>
      <c r="O11" t="s">
        <v>27</v>
      </c>
      <c r="P11" t="s">
        <v>121</v>
      </c>
      <c r="S11" t="s">
        <v>113</v>
      </c>
      <c r="T11" t="s">
        <v>122</v>
      </c>
      <c r="U11">
        <v>95</v>
      </c>
      <c r="V11" t="s">
        <v>123</v>
      </c>
    </row>
    <row r="12" spans="1:22" x14ac:dyDescent="0.25">
      <c r="A12" t="s">
        <v>124</v>
      </c>
      <c r="B12" t="str">
        <f>_xlfn.XLOOKUP(F12,Measure_Register!B:B,Measure_Register!A:A,"NA",0,1)</f>
        <v>M004</v>
      </c>
      <c r="C12" t="s">
        <v>106</v>
      </c>
      <c r="D12" t="s">
        <v>107</v>
      </c>
      <c r="E12" t="s">
        <v>118</v>
      </c>
      <c r="F12" t="s">
        <v>117</v>
      </c>
      <c r="G12" t="s">
        <v>118</v>
      </c>
      <c r="H12" t="s">
        <v>102</v>
      </c>
      <c r="I12" t="s">
        <v>27</v>
      </c>
      <c r="J12" t="s">
        <v>125</v>
      </c>
      <c r="K12" t="s">
        <v>33</v>
      </c>
      <c r="L12" t="s">
        <v>126</v>
      </c>
      <c r="M12" t="s">
        <v>33</v>
      </c>
      <c r="N12" t="s">
        <v>57</v>
      </c>
      <c r="S12" t="s">
        <v>127</v>
      </c>
      <c r="T12" t="s">
        <v>122</v>
      </c>
      <c r="U12">
        <v>95</v>
      </c>
      <c r="V12" t="s">
        <v>128</v>
      </c>
    </row>
    <row r="13" spans="1:22" x14ac:dyDescent="0.25">
      <c r="A13" t="s">
        <v>151</v>
      </c>
      <c r="B13" t="str">
        <f>_xlfn.XLOOKUP(F13,Measure_Register!B:B,Measure_Register!A:A,"NA",0,1)</f>
        <v>M005</v>
      </c>
      <c r="C13" t="s">
        <v>153</v>
      </c>
      <c r="D13" t="s">
        <v>154</v>
      </c>
      <c r="E13" t="s">
        <v>155</v>
      </c>
      <c r="F13" t="s">
        <v>156</v>
      </c>
      <c r="G13" t="s">
        <v>157</v>
      </c>
      <c r="H13" t="s">
        <v>158</v>
      </c>
      <c r="I13" t="s">
        <v>33</v>
      </c>
      <c r="J13" t="s">
        <v>159</v>
      </c>
      <c r="K13" t="s">
        <v>27</v>
      </c>
      <c r="L13" t="s">
        <v>160</v>
      </c>
      <c r="M13" t="s">
        <v>27</v>
      </c>
      <c r="N13" t="s">
        <v>161</v>
      </c>
      <c r="O13" t="s">
        <v>30</v>
      </c>
      <c r="P13" t="s">
        <v>162</v>
      </c>
      <c r="Q13" t="s">
        <v>33</v>
      </c>
      <c r="R13" t="s">
        <v>163</v>
      </c>
      <c r="S13" t="s">
        <v>35</v>
      </c>
      <c r="T13" t="s">
        <v>164</v>
      </c>
      <c r="U13">
        <v>100</v>
      </c>
      <c r="V13" t="s">
        <v>165</v>
      </c>
    </row>
    <row r="14" spans="1:22" x14ac:dyDescent="0.25">
      <c r="A14" t="s">
        <v>166</v>
      </c>
      <c r="B14" t="str">
        <f>_xlfn.XLOOKUP(F14,Measure_Register!B:B,Measure_Register!A:A,"NA",0,1)</f>
        <v>M005</v>
      </c>
      <c r="C14" t="s">
        <v>153</v>
      </c>
      <c r="D14" t="s">
        <v>154</v>
      </c>
      <c r="E14" t="s">
        <v>155</v>
      </c>
      <c r="F14" t="s">
        <v>156</v>
      </c>
      <c r="G14" t="s">
        <v>157</v>
      </c>
      <c r="H14" t="s">
        <v>167</v>
      </c>
      <c r="I14" t="s">
        <v>30</v>
      </c>
      <c r="J14" t="s">
        <v>162</v>
      </c>
      <c r="K14" t="s">
        <v>27</v>
      </c>
      <c r="L14" t="s">
        <v>108</v>
      </c>
      <c r="M14" t="s">
        <v>33</v>
      </c>
      <c r="N14" t="s">
        <v>168</v>
      </c>
      <c r="O14" t="s">
        <v>27</v>
      </c>
      <c r="P14" t="s">
        <v>169</v>
      </c>
      <c r="Q14" t="s">
        <v>33</v>
      </c>
      <c r="R14" t="s">
        <v>170</v>
      </c>
      <c r="S14" t="s">
        <v>171</v>
      </c>
      <c r="T14" t="s">
        <v>172</v>
      </c>
      <c r="U14">
        <v>100</v>
      </c>
      <c r="V14" t="s">
        <v>173</v>
      </c>
    </row>
    <row r="15" spans="1:22" x14ac:dyDescent="0.25">
      <c r="A15" t="s">
        <v>174</v>
      </c>
      <c r="B15" t="str">
        <f>_xlfn.XLOOKUP(F15,Measure_Register!B:B,Measure_Register!A:A,"NA",0,1)</f>
        <v>M006</v>
      </c>
      <c r="C15" t="s">
        <v>176</v>
      </c>
      <c r="D15" t="s">
        <v>177</v>
      </c>
      <c r="E15" t="s">
        <v>178</v>
      </c>
      <c r="F15" t="s">
        <v>179</v>
      </c>
      <c r="G15" t="s">
        <v>178</v>
      </c>
      <c r="H15" t="s">
        <v>180</v>
      </c>
      <c r="I15" t="s">
        <v>33</v>
      </c>
      <c r="J15" t="s">
        <v>159</v>
      </c>
      <c r="K15" t="s">
        <v>30</v>
      </c>
      <c r="L15" t="s">
        <v>181</v>
      </c>
      <c r="M15" t="s">
        <v>30</v>
      </c>
      <c r="N15" t="s">
        <v>97</v>
      </c>
      <c r="O15" t="s">
        <v>33</v>
      </c>
      <c r="P15" t="s">
        <v>182</v>
      </c>
      <c r="Q15" t="s">
        <v>33</v>
      </c>
      <c r="R15" t="s">
        <v>183</v>
      </c>
      <c r="S15" t="s">
        <v>35</v>
      </c>
      <c r="T15" t="s">
        <v>184</v>
      </c>
      <c r="U15">
        <v>100</v>
      </c>
      <c r="V15" t="s">
        <v>185</v>
      </c>
    </row>
    <row r="16" spans="1:22" x14ac:dyDescent="0.25">
      <c r="A16" t="s">
        <v>186</v>
      </c>
      <c r="B16" t="str">
        <f>_xlfn.XLOOKUP(F16,Measure_Register!B:B,Measure_Register!A:A,"NA",0,1)</f>
        <v>M007</v>
      </c>
      <c r="C16" t="s">
        <v>188</v>
      </c>
      <c r="D16" t="s">
        <v>189</v>
      </c>
      <c r="E16" t="s">
        <v>190</v>
      </c>
      <c r="F16" t="s">
        <v>191</v>
      </c>
      <c r="G16" t="s">
        <v>192</v>
      </c>
      <c r="H16" t="s">
        <v>167</v>
      </c>
      <c r="I16" t="s">
        <v>30</v>
      </c>
      <c r="J16" t="s">
        <v>193</v>
      </c>
      <c r="K16" t="s">
        <v>30</v>
      </c>
      <c r="L16" t="s">
        <v>97</v>
      </c>
      <c r="M16" t="s">
        <v>27</v>
      </c>
      <c r="N16" t="s">
        <v>194</v>
      </c>
      <c r="O16" t="s">
        <v>33</v>
      </c>
      <c r="P16" t="s">
        <v>168</v>
      </c>
      <c r="Q16" t="s">
        <v>33</v>
      </c>
      <c r="R16" t="s">
        <v>170</v>
      </c>
      <c r="S16" t="s">
        <v>35</v>
      </c>
      <c r="T16" t="s">
        <v>195</v>
      </c>
      <c r="U16">
        <v>100</v>
      </c>
      <c r="V16" t="s">
        <v>196</v>
      </c>
    </row>
    <row r="17" spans="1:22" x14ac:dyDescent="0.25">
      <c r="A17" t="s">
        <v>197</v>
      </c>
      <c r="B17" t="str">
        <f>_xlfn.XLOOKUP(F17,Measure_Register!B:B,Measure_Register!A:A,"NA",0,1)</f>
        <v>M007</v>
      </c>
      <c r="C17" t="s">
        <v>188</v>
      </c>
      <c r="D17" t="s">
        <v>189</v>
      </c>
      <c r="E17" t="s">
        <v>190</v>
      </c>
      <c r="F17" t="s">
        <v>191</v>
      </c>
      <c r="G17" t="s">
        <v>192</v>
      </c>
      <c r="H17" t="s">
        <v>159</v>
      </c>
      <c r="I17" t="s">
        <v>30</v>
      </c>
      <c r="J17" t="s">
        <v>198</v>
      </c>
      <c r="K17" t="s">
        <v>27</v>
      </c>
      <c r="L17" t="s">
        <v>199</v>
      </c>
      <c r="M17" t="s">
        <v>30</v>
      </c>
      <c r="N17" t="s">
        <v>200</v>
      </c>
      <c r="O17" t="s">
        <v>33</v>
      </c>
      <c r="P17" t="s">
        <v>201</v>
      </c>
      <c r="Q17" t="s">
        <v>33</v>
      </c>
      <c r="R17" t="s">
        <v>202</v>
      </c>
      <c r="S17" t="s">
        <v>35</v>
      </c>
      <c r="T17" t="s">
        <v>203</v>
      </c>
      <c r="U17">
        <v>100</v>
      </c>
      <c r="V17" t="s">
        <v>204</v>
      </c>
    </row>
    <row r="18" spans="1:22" x14ac:dyDescent="0.25">
      <c r="A18" t="s">
        <v>206</v>
      </c>
      <c r="B18" t="str">
        <f>_xlfn.XLOOKUP(F18,Measure_Register!B:B,Measure_Register!A:A,"NA",0,1)</f>
        <v>M008</v>
      </c>
      <c r="C18" t="s">
        <v>223</v>
      </c>
      <c r="D18" t="s">
        <v>224</v>
      </c>
      <c r="E18" t="s">
        <v>88</v>
      </c>
      <c r="F18" t="s">
        <v>225</v>
      </c>
      <c r="G18" t="s">
        <v>88</v>
      </c>
      <c r="H18" t="s">
        <v>226</v>
      </c>
      <c r="I18" t="s">
        <v>66</v>
      </c>
      <c r="J18" t="s">
        <v>227</v>
      </c>
      <c r="K18" t="s">
        <v>66</v>
      </c>
      <c r="L18" t="s">
        <v>228</v>
      </c>
      <c r="M18" t="s">
        <v>33</v>
      </c>
      <c r="N18" t="s">
        <v>229</v>
      </c>
      <c r="S18" t="s">
        <v>46</v>
      </c>
      <c r="T18" t="s">
        <v>112</v>
      </c>
      <c r="U18">
        <v>95</v>
      </c>
      <c r="V18" t="s">
        <v>230</v>
      </c>
    </row>
    <row r="19" spans="1:22" x14ac:dyDescent="0.25">
      <c r="A19" t="s">
        <v>208</v>
      </c>
      <c r="B19" t="str">
        <f>_xlfn.XLOOKUP(F19,Measure_Register!B:B,Measure_Register!A:A,"NA",0,1)</f>
        <v>M009</v>
      </c>
      <c r="C19" t="s">
        <v>223</v>
      </c>
      <c r="D19" t="s">
        <v>224</v>
      </c>
      <c r="E19" t="s">
        <v>157</v>
      </c>
      <c r="F19" t="s">
        <v>233</v>
      </c>
      <c r="G19" t="s">
        <v>157</v>
      </c>
      <c r="H19" t="s">
        <v>234</v>
      </c>
      <c r="I19" t="s">
        <v>66</v>
      </c>
      <c r="J19" t="s">
        <v>227</v>
      </c>
      <c r="K19" t="s">
        <v>33</v>
      </c>
      <c r="L19" t="s">
        <v>229</v>
      </c>
      <c r="M19" t="s">
        <v>66</v>
      </c>
      <c r="N19" t="s">
        <v>235</v>
      </c>
      <c r="S19" t="s">
        <v>236</v>
      </c>
      <c r="T19" t="s">
        <v>237</v>
      </c>
      <c r="U19">
        <v>85</v>
      </c>
      <c r="V19" t="s">
        <v>238</v>
      </c>
    </row>
    <row r="20" spans="1:22" x14ac:dyDescent="0.25">
      <c r="A20" t="s">
        <v>221</v>
      </c>
      <c r="B20" t="str">
        <f>_xlfn.XLOOKUP(F20,Measure_Register!B:B,Measure_Register!A:A,"NA",0,1)</f>
        <v>M010</v>
      </c>
      <c r="C20" t="s">
        <v>262</v>
      </c>
      <c r="D20" t="s">
        <v>263</v>
      </c>
      <c r="E20" t="s">
        <v>264</v>
      </c>
      <c r="F20" t="s">
        <v>313</v>
      </c>
      <c r="G20" t="s">
        <v>157</v>
      </c>
      <c r="H20" t="s">
        <v>265</v>
      </c>
      <c r="I20" t="s">
        <v>70</v>
      </c>
      <c r="J20" t="s">
        <v>266</v>
      </c>
      <c r="K20" t="s">
        <v>33</v>
      </c>
      <c r="L20" t="s">
        <v>246</v>
      </c>
      <c r="M20" t="s">
        <v>70</v>
      </c>
      <c r="N20" t="s">
        <v>267</v>
      </c>
      <c r="S20" t="s">
        <v>268</v>
      </c>
      <c r="T20" t="s">
        <v>269</v>
      </c>
      <c r="U20">
        <v>100</v>
      </c>
      <c r="V20" t="s">
        <v>270</v>
      </c>
    </row>
    <row r="21" spans="1:22" x14ac:dyDescent="0.25">
      <c r="A21" t="s">
        <v>231</v>
      </c>
      <c r="B21" t="str">
        <f>_xlfn.XLOOKUP(F21,Measure_Register!B:B,Measure_Register!A:A,"NA",0,1)</f>
        <v>M010</v>
      </c>
      <c r="C21" t="s">
        <v>262</v>
      </c>
      <c r="D21" t="s">
        <v>263</v>
      </c>
      <c r="E21" t="s">
        <v>272</v>
      </c>
      <c r="F21" t="s">
        <v>313</v>
      </c>
      <c r="G21" t="s">
        <v>157</v>
      </c>
      <c r="H21" t="s">
        <v>273</v>
      </c>
      <c r="I21" t="s">
        <v>70</v>
      </c>
      <c r="J21" t="s">
        <v>266</v>
      </c>
      <c r="K21" t="s">
        <v>27</v>
      </c>
      <c r="L21" t="s">
        <v>274</v>
      </c>
      <c r="M21" t="s">
        <v>70</v>
      </c>
      <c r="N21" t="s">
        <v>275</v>
      </c>
      <c r="S21" t="s">
        <v>276</v>
      </c>
      <c r="T21" t="s">
        <v>277</v>
      </c>
      <c r="U21">
        <v>95</v>
      </c>
      <c r="V21" t="s">
        <v>278</v>
      </c>
    </row>
    <row r="22" spans="1:22" x14ac:dyDescent="0.25">
      <c r="A22" t="s">
        <v>239</v>
      </c>
      <c r="B22" t="str">
        <f>_xlfn.XLOOKUP(F22,Measure_Register!B:B,Measure_Register!A:A,"NA",0,1)</f>
        <v>M010</v>
      </c>
      <c r="C22" t="s">
        <v>262</v>
      </c>
      <c r="D22" t="s">
        <v>263</v>
      </c>
      <c r="E22" t="s">
        <v>280</v>
      </c>
      <c r="F22" t="s">
        <v>313</v>
      </c>
      <c r="G22" t="s">
        <v>157</v>
      </c>
      <c r="H22" t="s">
        <v>273</v>
      </c>
      <c r="I22" t="s">
        <v>68</v>
      </c>
      <c r="J22" t="s">
        <v>201</v>
      </c>
      <c r="K22" t="s">
        <v>70</v>
      </c>
      <c r="L22" t="s">
        <v>281</v>
      </c>
      <c r="M22" t="s">
        <v>33</v>
      </c>
      <c r="N22" t="s">
        <v>282</v>
      </c>
      <c r="S22" t="s">
        <v>283</v>
      </c>
      <c r="T22" t="s">
        <v>284</v>
      </c>
      <c r="U22">
        <v>95</v>
      </c>
      <c r="V22" t="s">
        <v>285</v>
      </c>
    </row>
    <row r="23" spans="1:22" x14ac:dyDescent="0.25">
      <c r="A23" t="s">
        <v>249</v>
      </c>
      <c r="B23" t="str">
        <f>_xlfn.XLOOKUP(F23,Measure_Register!B:B,Measure_Register!A:A,"NA",0,1)</f>
        <v>M011</v>
      </c>
      <c r="C23" t="s">
        <v>288</v>
      </c>
      <c r="D23" t="s">
        <v>289</v>
      </c>
      <c r="E23" t="s">
        <v>178</v>
      </c>
      <c r="F23" t="s">
        <v>290</v>
      </c>
      <c r="G23" t="s">
        <v>178</v>
      </c>
      <c r="H23" t="s">
        <v>265</v>
      </c>
      <c r="I23" t="s">
        <v>70</v>
      </c>
      <c r="J23" t="s">
        <v>291</v>
      </c>
      <c r="K23" t="s">
        <v>68</v>
      </c>
      <c r="L23" t="s">
        <v>292</v>
      </c>
      <c r="M23" t="s">
        <v>33</v>
      </c>
      <c r="N23" t="s">
        <v>202</v>
      </c>
      <c r="S23" t="s">
        <v>58</v>
      </c>
      <c r="T23" t="s">
        <v>293</v>
      </c>
      <c r="U23">
        <v>100</v>
      </c>
      <c r="V23" t="s">
        <v>294</v>
      </c>
    </row>
    <row r="24" spans="1:22" x14ac:dyDescent="0.25">
      <c r="A24" t="s">
        <v>251</v>
      </c>
      <c r="B24" t="str">
        <f>_xlfn.XLOOKUP(F24,Measure_Register!B:B,Measure_Register!A:A,"NA",0,1)</f>
        <v>M012</v>
      </c>
      <c r="C24" t="s">
        <v>288</v>
      </c>
      <c r="D24" t="s">
        <v>289</v>
      </c>
      <c r="E24" t="s">
        <v>297</v>
      </c>
      <c r="F24" t="s">
        <v>298</v>
      </c>
      <c r="G24" t="s">
        <v>292</v>
      </c>
      <c r="H24" t="s">
        <v>167</v>
      </c>
      <c r="I24" t="s">
        <v>68</v>
      </c>
      <c r="J24" t="s">
        <v>299</v>
      </c>
      <c r="K24" t="s">
        <v>70</v>
      </c>
      <c r="L24" t="s">
        <v>300</v>
      </c>
      <c r="M24" t="s">
        <v>33</v>
      </c>
      <c r="N24" t="s">
        <v>301</v>
      </c>
      <c r="S24" t="s">
        <v>45</v>
      </c>
      <c r="T24" t="s">
        <v>302</v>
      </c>
      <c r="U24">
        <v>100</v>
      </c>
      <c r="V24" t="s">
        <v>303</v>
      </c>
    </row>
    <row r="25" spans="1:22" x14ac:dyDescent="0.25">
      <c r="A25" t="s">
        <v>258</v>
      </c>
      <c r="B25" t="str">
        <f>_xlfn.XLOOKUP(F25,Measure_Register!B:B,Measure_Register!A:A,"NA",0,1)</f>
        <v>M013</v>
      </c>
      <c r="C25" t="s">
        <v>323</v>
      </c>
      <c r="D25" t="s">
        <v>324</v>
      </c>
      <c r="E25" t="s">
        <v>325</v>
      </c>
      <c r="F25" t="s">
        <v>326</v>
      </c>
      <c r="G25" t="s">
        <v>178</v>
      </c>
      <c r="H25" t="s">
        <v>327</v>
      </c>
      <c r="I25" t="s">
        <v>68</v>
      </c>
      <c r="J25" t="s">
        <v>328</v>
      </c>
      <c r="K25" t="s">
        <v>68</v>
      </c>
      <c r="L25" t="s">
        <v>292</v>
      </c>
      <c r="M25" t="s">
        <v>33</v>
      </c>
      <c r="N25" t="s">
        <v>329</v>
      </c>
      <c r="S25" t="s">
        <v>45</v>
      </c>
      <c r="T25" t="s">
        <v>330</v>
      </c>
      <c r="U25">
        <v>100</v>
      </c>
      <c r="V25" t="s">
        <v>331</v>
      </c>
    </row>
    <row r="26" spans="1:22" x14ac:dyDescent="0.25">
      <c r="A26" t="s">
        <v>260</v>
      </c>
      <c r="B26" t="str">
        <f>_xlfn.XLOOKUP(F26,Measure_Register!B:B,Measure_Register!A:A,"NA",0,1)</f>
        <v>M013</v>
      </c>
      <c r="C26" t="s">
        <v>323</v>
      </c>
      <c r="D26" t="s">
        <v>324</v>
      </c>
      <c r="E26" t="s">
        <v>333</v>
      </c>
      <c r="F26" t="s">
        <v>326</v>
      </c>
      <c r="G26" t="s">
        <v>178</v>
      </c>
      <c r="H26" t="s">
        <v>273</v>
      </c>
      <c r="I26" t="s">
        <v>68</v>
      </c>
      <c r="J26" t="s">
        <v>328</v>
      </c>
      <c r="K26" t="s">
        <v>70</v>
      </c>
      <c r="L26" t="s">
        <v>334</v>
      </c>
      <c r="M26" t="s">
        <v>68</v>
      </c>
      <c r="N26" t="s">
        <v>335</v>
      </c>
      <c r="S26" t="s">
        <v>276</v>
      </c>
      <c r="T26" t="s">
        <v>336</v>
      </c>
      <c r="U26">
        <v>95</v>
      </c>
      <c r="V26" t="s">
        <v>337</v>
      </c>
    </row>
    <row r="27" spans="1:22" x14ac:dyDescent="0.25">
      <c r="A27" t="s">
        <v>271</v>
      </c>
      <c r="B27" t="str">
        <f>_xlfn.XLOOKUP(F27,Measure_Register!B:B,Measure_Register!A:A,"NA",0,1)</f>
        <v>M014</v>
      </c>
      <c r="C27" t="s">
        <v>339</v>
      </c>
      <c r="D27" t="s">
        <v>340</v>
      </c>
      <c r="E27" t="s">
        <v>25</v>
      </c>
      <c r="F27" t="s">
        <v>341</v>
      </c>
      <c r="G27" t="s">
        <v>157</v>
      </c>
      <c r="H27" t="s">
        <v>342</v>
      </c>
      <c r="I27" t="s">
        <v>33</v>
      </c>
      <c r="J27" t="s">
        <v>343</v>
      </c>
      <c r="K27" t="s">
        <v>27</v>
      </c>
      <c r="L27" t="s">
        <v>344</v>
      </c>
      <c r="M27" t="s">
        <v>33</v>
      </c>
      <c r="N27" t="s">
        <v>345</v>
      </c>
      <c r="S27" t="s">
        <v>268</v>
      </c>
      <c r="T27" t="s">
        <v>346</v>
      </c>
      <c r="U27">
        <v>100</v>
      </c>
      <c r="V27" t="s">
        <v>347</v>
      </c>
    </row>
    <row r="28" spans="1:22" x14ac:dyDescent="0.25">
      <c r="A28" t="s">
        <v>279</v>
      </c>
      <c r="B28" t="str">
        <f>_xlfn.XLOOKUP(F28,Measure_Register!B:B,Measure_Register!A:A,"NA",0,1)</f>
        <v>M014</v>
      </c>
      <c r="C28" t="s">
        <v>339</v>
      </c>
      <c r="D28" t="s">
        <v>340</v>
      </c>
      <c r="E28" t="s">
        <v>25</v>
      </c>
      <c r="F28" t="s">
        <v>341</v>
      </c>
      <c r="G28" t="s">
        <v>157</v>
      </c>
      <c r="H28" t="s">
        <v>349</v>
      </c>
      <c r="I28" t="s">
        <v>33</v>
      </c>
      <c r="J28" t="s">
        <v>57</v>
      </c>
      <c r="K28" t="s">
        <v>33</v>
      </c>
      <c r="L28" t="s">
        <v>350</v>
      </c>
      <c r="M28" t="s">
        <v>33</v>
      </c>
      <c r="N28" t="s">
        <v>351</v>
      </c>
      <c r="S28" t="s">
        <v>276</v>
      </c>
      <c r="T28" t="s">
        <v>352</v>
      </c>
      <c r="U28">
        <v>100</v>
      </c>
      <c r="V28" t="s">
        <v>353</v>
      </c>
    </row>
    <row r="29" spans="1:22" x14ac:dyDescent="0.25">
      <c r="A29" t="s">
        <v>286</v>
      </c>
      <c r="B29" t="str">
        <f>_xlfn.XLOOKUP(F29,Measure_Register!B:B,Measure_Register!A:A,"NA",0,1)</f>
        <v>M015</v>
      </c>
      <c r="C29" t="s">
        <v>355</v>
      </c>
      <c r="D29" t="s">
        <v>356</v>
      </c>
      <c r="E29" t="s">
        <v>325</v>
      </c>
      <c r="F29" t="s">
        <v>357</v>
      </c>
      <c r="G29" t="s">
        <v>358</v>
      </c>
      <c r="H29" t="s">
        <v>359</v>
      </c>
      <c r="I29" t="s">
        <v>68</v>
      </c>
      <c r="J29" t="s">
        <v>299</v>
      </c>
      <c r="K29" t="s">
        <v>70</v>
      </c>
      <c r="L29" t="s">
        <v>360</v>
      </c>
      <c r="M29" t="s">
        <v>33</v>
      </c>
      <c r="N29" t="s">
        <v>168</v>
      </c>
      <c r="S29" t="s">
        <v>276</v>
      </c>
      <c r="T29" t="s">
        <v>361</v>
      </c>
      <c r="U29">
        <v>100</v>
      </c>
      <c r="V29" t="s">
        <v>362</v>
      </c>
    </row>
    <row r="30" spans="1:22" x14ac:dyDescent="0.25">
      <c r="A30" t="s">
        <v>295</v>
      </c>
      <c r="B30" t="str">
        <f>_xlfn.XLOOKUP(F30,Measure_Register!B:B,Measure_Register!A:A,"NA",0,1)</f>
        <v>M015</v>
      </c>
      <c r="C30" t="s">
        <v>355</v>
      </c>
      <c r="D30" t="s">
        <v>356</v>
      </c>
      <c r="E30" t="s">
        <v>325</v>
      </c>
      <c r="F30" t="s">
        <v>357</v>
      </c>
      <c r="G30" t="s">
        <v>358</v>
      </c>
      <c r="H30" t="s">
        <v>359</v>
      </c>
      <c r="I30" t="s">
        <v>68</v>
      </c>
      <c r="J30" t="s">
        <v>299</v>
      </c>
      <c r="K30" t="s">
        <v>30</v>
      </c>
      <c r="L30" t="s">
        <v>364</v>
      </c>
      <c r="M30" t="s">
        <v>30</v>
      </c>
      <c r="N30" t="s">
        <v>365</v>
      </c>
      <c r="S30" t="s">
        <v>276</v>
      </c>
      <c r="T30" t="s">
        <v>361</v>
      </c>
      <c r="U30">
        <v>100</v>
      </c>
      <c r="V30" t="s">
        <v>366</v>
      </c>
    </row>
    <row r="31" spans="1:22" x14ac:dyDescent="0.25">
      <c r="A31" t="s">
        <v>321</v>
      </c>
      <c r="B31" t="str">
        <f>_xlfn.XLOOKUP(F31,Measure_Register!B:B,Measure_Register!A:A,"NA",0,1)</f>
        <v>M016</v>
      </c>
      <c r="C31" t="s">
        <v>355</v>
      </c>
      <c r="D31" t="s">
        <v>356</v>
      </c>
      <c r="E31" t="s">
        <v>325</v>
      </c>
      <c r="F31" t="s">
        <v>368</v>
      </c>
      <c r="G31" t="s">
        <v>358</v>
      </c>
      <c r="H31" t="s">
        <v>359</v>
      </c>
      <c r="I31" t="s">
        <v>68</v>
      </c>
      <c r="J31" t="s">
        <v>369</v>
      </c>
      <c r="K31" t="s">
        <v>33</v>
      </c>
      <c r="L31" t="s">
        <v>370</v>
      </c>
      <c r="M31" t="s">
        <v>68</v>
      </c>
      <c r="N31" t="s">
        <v>201</v>
      </c>
      <c r="S31" t="s">
        <v>45</v>
      </c>
      <c r="T31" t="s">
        <v>371</v>
      </c>
      <c r="U31">
        <v>95</v>
      </c>
      <c r="V31" t="s">
        <v>372</v>
      </c>
    </row>
    <row r="32" spans="1:22" x14ac:dyDescent="0.25">
      <c r="A32" t="s">
        <v>332</v>
      </c>
      <c r="B32" t="str">
        <f>_xlfn.XLOOKUP(F32,Measure_Register!B:B,Measure_Register!A:A,"NA",0,1)</f>
        <v>M017</v>
      </c>
      <c r="C32" t="s">
        <v>374</v>
      </c>
      <c r="D32" t="s">
        <v>340</v>
      </c>
      <c r="E32" t="s">
        <v>375</v>
      </c>
      <c r="F32" t="s">
        <v>388</v>
      </c>
      <c r="G32" t="s">
        <v>157</v>
      </c>
      <c r="H32" t="s">
        <v>167</v>
      </c>
      <c r="I32" t="s">
        <v>33</v>
      </c>
      <c r="J32" t="s">
        <v>376</v>
      </c>
      <c r="K32" t="s">
        <v>33</v>
      </c>
      <c r="L32" t="s">
        <v>377</v>
      </c>
      <c r="S32" t="s">
        <v>378</v>
      </c>
      <c r="T32" t="s">
        <v>379</v>
      </c>
      <c r="U32">
        <v>90</v>
      </c>
      <c r="V32" t="s">
        <v>380</v>
      </c>
    </row>
    <row r="33" spans="1:22" x14ac:dyDescent="0.25">
      <c r="A33" t="s">
        <v>338</v>
      </c>
      <c r="B33" t="str">
        <f>_xlfn.XLOOKUP(F33,Measure_Register!B:B,Measure_Register!A:A,"NA",0,1)</f>
        <v>M019</v>
      </c>
      <c r="C33" t="s">
        <v>241</v>
      </c>
      <c r="D33" t="s">
        <v>242</v>
      </c>
      <c r="E33" t="s">
        <v>243</v>
      </c>
      <c r="F33" t="s">
        <v>391</v>
      </c>
      <c r="G33" t="s">
        <v>244</v>
      </c>
      <c r="H33" t="s">
        <v>83</v>
      </c>
      <c r="I33" t="s">
        <v>27</v>
      </c>
      <c r="J33" t="s">
        <v>160</v>
      </c>
      <c r="K33" t="s">
        <v>27</v>
      </c>
      <c r="L33" t="s">
        <v>410</v>
      </c>
      <c r="M33" t="s">
        <v>27</v>
      </c>
      <c r="N33" t="s">
        <v>411</v>
      </c>
      <c r="O33" t="s">
        <v>27</v>
      </c>
      <c r="P33" t="s">
        <v>412</v>
      </c>
      <c r="Q33" t="s">
        <v>33</v>
      </c>
      <c r="R33" t="s">
        <v>210</v>
      </c>
      <c r="S33" t="s">
        <v>413</v>
      </c>
      <c r="T33" t="s">
        <v>414</v>
      </c>
      <c r="U33">
        <v>100</v>
      </c>
      <c r="V33" t="s">
        <v>415</v>
      </c>
    </row>
    <row r="34" spans="1:22" x14ac:dyDescent="0.25">
      <c r="A34" t="s">
        <v>348</v>
      </c>
      <c r="B34" t="str">
        <f>_xlfn.XLOOKUP(F34,Measure_Register!B:B,Measure_Register!A:A,"NA",0,1)</f>
        <v>M019</v>
      </c>
      <c r="C34" t="s">
        <v>241</v>
      </c>
      <c r="D34" t="s">
        <v>242</v>
      </c>
      <c r="E34" t="s">
        <v>244</v>
      </c>
      <c r="F34" t="s">
        <v>391</v>
      </c>
      <c r="G34" t="s">
        <v>244</v>
      </c>
      <c r="H34" t="s">
        <v>102</v>
      </c>
      <c r="I34" t="s">
        <v>27</v>
      </c>
      <c r="J34" t="s">
        <v>160</v>
      </c>
      <c r="K34" t="s">
        <v>27</v>
      </c>
      <c r="L34" t="s">
        <v>410</v>
      </c>
      <c r="M34" t="s">
        <v>27</v>
      </c>
      <c r="N34" t="s">
        <v>411</v>
      </c>
      <c r="O34" t="s">
        <v>27</v>
      </c>
      <c r="P34" t="s">
        <v>412</v>
      </c>
      <c r="Q34" t="s">
        <v>33</v>
      </c>
      <c r="R34" t="s">
        <v>417</v>
      </c>
      <c r="S34" t="s">
        <v>413</v>
      </c>
      <c r="T34" t="s">
        <v>418</v>
      </c>
      <c r="U34">
        <v>100</v>
      </c>
      <c r="V34" t="s">
        <v>419</v>
      </c>
    </row>
    <row r="35" spans="1:22" x14ac:dyDescent="0.25">
      <c r="A35" t="s">
        <v>354</v>
      </c>
      <c r="B35" t="str">
        <f>_xlfn.XLOOKUP(F35,Measure_Register!B:B,Measure_Register!A:A,"NA",0,1)</f>
        <v>M020</v>
      </c>
      <c r="C35" t="s">
        <v>241</v>
      </c>
      <c r="D35" t="s">
        <v>242</v>
      </c>
      <c r="E35" t="s">
        <v>244</v>
      </c>
      <c r="F35" t="s">
        <v>396</v>
      </c>
      <c r="G35" t="s">
        <v>397</v>
      </c>
      <c r="H35" t="s">
        <v>420</v>
      </c>
      <c r="I35" t="s">
        <v>27</v>
      </c>
      <c r="J35" t="s">
        <v>398</v>
      </c>
      <c r="K35" t="s">
        <v>27</v>
      </c>
      <c r="L35" t="s">
        <v>72</v>
      </c>
      <c r="M35" t="s">
        <v>33</v>
      </c>
      <c r="N35" t="s">
        <v>421</v>
      </c>
      <c r="O35" t="s">
        <v>33</v>
      </c>
      <c r="P35" t="s">
        <v>422</v>
      </c>
      <c r="Q35" t="s">
        <v>68</v>
      </c>
      <c r="R35" t="s">
        <v>423</v>
      </c>
      <c r="S35" t="s">
        <v>413</v>
      </c>
      <c r="T35" t="s">
        <v>418</v>
      </c>
      <c r="U35">
        <v>100</v>
      </c>
      <c r="V35" t="s">
        <v>424</v>
      </c>
    </row>
    <row r="36" spans="1:22" x14ac:dyDescent="0.25">
      <c r="A36" t="s">
        <v>363</v>
      </c>
      <c r="B36" t="str">
        <f>_xlfn.XLOOKUP(F36,Measure_Register!B:B,Measure_Register!A:A,"NA",0,1)</f>
        <v>M021</v>
      </c>
      <c r="C36" t="s">
        <v>241</v>
      </c>
      <c r="D36" t="s">
        <v>242</v>
      </c>
      <c r="E36" t="s">
        <v>243</v>
      </c>
      <c r="F36" t="s">
        <v>401</v>
      </c>
      <c r="G36" t="s">
        <v>244</v>
      </c>
      <c r="H36" t="s">
        <v>83</v>
      </c>
      <c r="I36" t="s">
        <v>27</v>
      </c>
      <c r="J36" t="s">
        <v>245</v>
      </c>
      <c r="K36" t="s">
        <v>33</v>
      </c>
      <c r="L36" t="s">
        <v>246</v>
      </c>
      <c r="M36" t="s">
        <v>33</v>
      </c>
      <c r="N36" t="s">
        <v>425</v>
      </c>
      <c r="S36" t="s">
        <v>247</v>
      </c>
      <c r="T36" t="s">
        <v>248</v>
      </c>
      <c r="U36">
        <v>95</v>
      </c>
      <c r="V36" t="s">
        <v>426</v>
      </c>
    </row>
    <row r="37" spans="1:22" x14ac:dyDescent="0.25">
      <c r="A37" t="s">
        <v>367</v>
      </c>
      <c r="B37" t="str">
        <f>_xlfn.XLOOKUP(F37,Measure_Register!B:B,Measure_Register!A:A,"NA",0,1)</f>
        <v>M021</v>
      </c>
      <c r="C37" t="s">
        <v>241</v>
      </c>
      <c r="D37" t="s">
        <v>242</v>
      </c>
      <c r="E37" t="s">
        <v>244</v>
      </c>
      <c r="F37" t="s">
        <v>401</v>
      </c>
      <c r="G37" t="s">
        <v>244</v>
      </c>
      <c r="H37" t="s">
        <v>102</v>
      </c>
      <c r="I37" t="s">
        <v>27</v>
      </c>
      <c r="J37" t="s">
        <v>245</v>
      </c>
      <c r="K37" t="s">
        <v>33</v>
      </c>
      <c r="L37" t="s">
        <v>246</v>
      </c>
      <c r="M37" t="s">
        <v>33</v>
      </c>
      <c r="N37" t="s">
        <v>110</v>
      </c>
      <c r="O37" t="s">
        <v>33</v>
      </c>
      <c r="P37" t="s">
        <v>427</v>
      </c>
      <c r="Q37" t="s">
        <v>33</v>
      </c>
      <c r="R37" t="s">
        <v>428</v>
      </c>
      <c r="S37" t="s">
        <v>247</v>
      </c>
      <c r="T37" t="s">
        <v>250</v>
      </c>
      <c r="U37">
        <v>95</v>
      </c>
      <c r="V37" t="s">
        <v>429</v>
      </c>
    </row>
    <row r="38" spans="1:22" x14ac:dyDescent="0.25">
      <c r="A38" t="s">
        <v>373</v>
      </c>
      <c r="B38" t="str">
        <f>_xlfn.XLOOKUP(F38,Measure_Register!B:B,Measure_Register!A:A,"NA",0,1)</f>
        <v>M022</v>
      </c>
      <c r="C38" t="s">
        <v>241</v>
      </c>
      <c r="D38" t="s">
        <v>242</v>
      </c>
      <c r="E38" t="s">
        <v>243</v>
      </c>
      <c r="F38" t="s">
        <v>404</v>
      </c>
      <c r="G38" t="s">
        <v>244</v>
      </c>
      <c r="H38" t="s">
        <v>83</v>
      </c>
      <c r="I38" t="s">
        <v>27</v>
      </c>
      <c r="J38" t="s">
        <v>430</v>
      </c>
      <c r="K38" t="s">
        <v>30</v>
      </c>
      <c r="L38" t="s">
        <v>431</v>
      </c>
      <c r="M38" t="s">
        <v>33</v>
      </c>
      <c r="N38" t="s">
        <v>432</v>
      </c>
      <c r="S38" t="s">
        <v>433</v>
      </c>
      <c r="T38" t="s">
        <v>434</v>
      </c>
      <c r="U38">
        <v>90</v>
      </c>
      <c r="V38" t="s">
        <v>435</v>
      </c>
    </row>
    <row r="39" spans="1:22" x14ac:dyDescent="0.25">
      <c r="A39" t="s">
        <v>409</v>
      </c>
      <c r="B39" t="str">
        <f>_xlfn.XLOOKUP(F39,Measure_Register!B:B,Measure_Register!A:A,"NA",0,1)</f>
        <v>M022</v>
      </c>
      <c r="C39" t="s">
        <v>241</v>
      </c>
      <c r="D39" t="s">
        <v>242</v>
      </c>
      <c r="E39" t="s">
        <v>244</v>
      </c>
      <c r="F39" t="s">
        <v>404</v>
      </c>
      <c r="G39" t="s">
        <v>244</v>
      </c>
      <c r="H39" t="s">
        <v>102</v>
      </c>
      <c r="I39" t="s">
        <v>27</v>
      </c>
      <c r="J39" t="s">
        <v>430</v>
      </c>
      <c r="K39" t="s">
        <v>30</v>
      </c>
      <c r="L39" t="s">
        <v>431</v>
      </c>
      <c r="M39" t="s">
        <v>33</v>
      </c>
      <c r="N39" t="s">
        <v>432</v>
      </c>
      <c r="O39" t="s">
        <v>33</v>
      </c>
      <c r="P39" t="s">
        <v>109</v>
      </c>
      <c r="S39" t="s">
        <v>436</v>
      </c>
      <c r="T39" t="s">
        <v>437</v>
      </c>
      <c r="U39">
        <v>90</v>
      </c>
      <c r="V39" t="s">
        <v>438</v>
      </c>
    </row>
    <row r="40" spans="1:22" x14ac:dyDescent="0.25">
      <c r="A40" t="s">
        <v>416</v>
      </c>
      <c r="B40" t="str">
        <f>_xlfn.XLOOKUP(F40,Measure_Register!B:B,Measure_Register!A:A,"NA",0,1)</f>
        <v>M018</v>
      </c>
      <c r="C40" t="s">
        <v>241</v>
      </c>
      <c r="D40" t="s">
        <v>242</v>
      </c>
      <c r="E40" t="s">
        <v>243</v>
      </c>
      <c r="F40" t="s">
        <v>253</v>
      </c>
      <c r="G40" t="s">
        <v>244</v>
      </c>
      <c r="H40" t="s">
        <v>83</v>
      </c>
      <c r="I40" t="s">
        <v>30</v>
      </c>
      <c r="J40" t="s">
        <v>97</v>
      </c>
      <c r="K40" t="s">
        <v>27</v>
      </c>
      <c r="L40" t="s">
        <v>254</v>
      </c>
      <c r="S40" t="s">
        <v>255</v>
      </c>
      <c r="T40" t="s">
        <v>256</v>
      </c>
      <c r="U40">
        <v>90</v>
      </c>
      <c r="V40" t="s">
        <v>257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workbookViewId="0">
      <selection activeCell="A2" sqref="A2:A23"/>
    </sheetView>
  </sheetViews>
  <sheetFormatPr defaultRowHeight="15" x14ac:dyDescent="0.25"/>
  <cols>
    <col min="1" max="1" width="11.7109375" bestFit="1" customWidth="1"/>
    <col min="2" max="2" width="66.42578125" bestFit="1" customWidth="1"/>
    <col min="3" max="3" width="16" bestFit="1" customWidth="1"/>
    <col min="4" max="4" width="30.85546875" bestFit="1" customWidth="1"/>
    <col min="5" max="5" width="19.28515625" bestFit="1" customWidth="1"/>
    <col min="6" max="6" width="12.28515625" bestFit="1" customWidth="1"/>
    <col min="7" max="7" width="21.42578125" bestFit="1" customWidth="1"/>
    <col min="8" max="8" width="53" bestFit="1" customWidth="1"/>
  </cols>
  <sheetData>
    <row r="1" spans="1:8" x14ac:dyDescent="0.25">
      <c r="A1" s="1" t="s">
        <v>1</v>
      </c>
      <c r="B1" s="1" t="s">
        <v>130</v>
      </c>
      <c r="C1" s="1" t="s">
        <v>5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</row>
    <row r="2" spans="1:8" x14ac:dyDescent="0.25">
      <c r="A2" t="s">
        <v>22</v>
      </c>
      <c r="B2" t="s">
        <v>136</v>
      </c>
      <c r="C2" t="s">
        <v>25</v>
      </c>
      <c r="D2" t="s">
        <v>137</v>
      </c>
      <c r="E2" t="s">
        <v>138</v>
      </c>
      <c r="F2" t="s">
        <v>139</v>
      </c>
      <c r="G2" t="s">
        <v>23</v>
      </c>
      <c r="H2" t="s">
        <v>140</v>
      </c>
    </row>
    <row r="3" spans="1:8" x14ac:dyDescent="0.25">
      <c r="A3" t="s">
        <v>49</v>
      </c>
      <c r="B3" t="s">
        <v>51</v>
      </c>
      <c r="C3" t="s">
        <v>25</v>
      </c>
      <c r="D3" t="s">
        <v>137</v>
      </c>
      <c r="E3" t="s">
        <v>138</v>
      </c>
      <c r="F3" t="s">
        <v>141</v>
      </c>
      <c r="G3" t="s">
        <v>50</v>
      </c>
      <c r="H3" t="s">
        <v>142</v>
      </c>
    </row>
    <row r="4" spans="1:8" x14ac:dyDescent="0.25">
      <c r="A4" t="s">
        <v>94</v>
      </c>
      <c r="B4" t="s">
        <v>143</v>
      </c>
      <c r="C4" t="s">
        <v>25</v>
      </c>
      <c r="D4" t="s">
        <v>144</v>
      </c>
      <c r="E4" t="s">
        <v>145</v>
      </c>
      <c r="F4" t="s">
        <v>139</v>
      </c>
      <c r="G4" t="s">
        <v>62</v>
      </c>
      <c r="H4" t="s">
        <v>146</v>
      </c>
    </row>
    <row r="5" spans="1:8" x14ac:dyDescent="0.25">
      <c r="A5" t="s">
        <v>105</v>
      </c>
      <c r="B5" t="s">
        <v>117</v>
      </c>
      <c r="C5" t="s">
        <v>118</v>
      </c>
      <c r="D5" t="s">
        <v>148</v>
      </c>
      <c r="E5" t="s">
        <v>149</v>
      </c>
      <c r="F5" t="s">
        <v>147</v>
      </c>
      <c r="G5" t="s">
        <v>106</v>
      </c>
      <c r="H5" t="s">
        <v>150</v>
      </c>
    </row>
    <row r="6" spans="1:8" x14ac:dyDescent="0.25">
      <c r="A6" t="s">
        <v>111</v>
      </c>
      <c r="B6" t="s">
        <v>156</v>
      </c>
      <c r="C6" t="s">
        <v>157</v>
      </c>
      <c r="D6" t="s">
        <v>210</v>
      </c>
      <c r="E6" t="s">
        <v>138</v>
      </c>
      <c r="F6" t="s">
        <v>211</v>
      </c>
      <c r="G6" t="s">
        <v>153</v>
      </c>
      <c r="H6" t="s">
        <v>212</v>
      </c>
    </row>
    <row r="7" spans="1:8" x14ac:dyDescent="0.25">
      <c r="A7" t="s">
        <v>115</v>
      </c>
      <c r="B7" t="s">
        <v>179</v>
      </c>
      <c r="C7" t="s">
        <v>178</v>
      </c>
      <c r="D7" t="s">
        <v>213</v>
      </c>
      <c r="E7" t="s">
        <v>214</v>
      </c>
      <c r="F7" t="s">
        <v>215</v>
      </c>
      <c r="G7" t="s">
        <v>176</v>
      </c>
      <c r="H7" t="s">
        <v>216</v>
      </c>
    </row>
    <row r="8" spans="1:8" x14ac:dyDescent="0.25">
      <c r="A8" t="s">
        <v>129</v>
      </c>
      <c r="B8" t="s">
        <v>191</v>
      </c>
      <c r="C8" t="s">
        <v>192</v>
      </c>
      <c r="D8" t="s">
        <v>217</v>
      </c>
      <c r="E8" t="s">
        <v>149</v>
      </c>
      <c r="F8" t="s">
        <v>218</v>
      </c>
      <c r="G8" t="s">
        <v>188</v>
      </c>
      <c r="H8" t="s">
        <v>219</v>
      </c>
    </row>
    <row r="9" spans="1:8" x14ac:dyDescent="0.25">
      <c r="A9" t="s">
        <v>152</v>
      </c>
      <c r="B9" t="s">
        <v>225</v>
      </c>
      <c r="C9" t="s">
        <v>88</v>
      </c>
      <c r="D9" t="s">
        <v>304</v>
      </c>
      <c r="E9" t="s">
        <v>305</v>
      </c>
      <c r="F9" t="s">
        <v>306</v>
      </c>
      <c r="G9" t="s">
        <v>223</v>
      </c>
      <c r="H9" t="s">
        <v>307</v>
      </c>
    </row>
    <row r="10" spans="1:8" x14ac:dyDescent="0.25">
      <c r="A10" t="s">
        <v>175</v>
      </c>
      <c r="B10" t="s">
        <v>233</v>
      </c>
      <c r="C10" t="s">
        <v>157</v>
      </c>
      <c r="D10" t="s">
        <v>227</v>
      </c>
      <c r="E10" t="s">
        <v>305</v>
      </c>
      <c r="F10" t="s">
        <v>220</v>
      </c>
      <c r="G10" t="s">
        <v>223</v>
      </c>
      <c r="H10" t="s">
        <v>308</v>
      </c>
    </row>
    <row r="11" spans="1:8" x14ac:dyDescent="0.25">
      <c r="A11" t="s">
        <v>187</v>
      </c>
      <c r="B11" t="s">
        <v>313</v>
      </c>
      <c r="C11" t="s">
        <v>157</v>
      </c>
      <c r="D11" t="s">
        <v>266</v>
      </c>
      <c r="E11" t="s">
        <v>314</v>
      </c>
      <c r="F11" t="s">
        <v>220</v>
      </c>
      <c r="G11" t="s">
        <v>262</v>
      </c>
      <c r="H11" t="s">
        <v>315</v>
      </c>
    </row>
    <row r="12" spans="1:8" x14ac:dyDescent="0.25">
      <c r="A12" t="s">
        <v>205</v>
      </c>
      <c r="B12" t="s">
        <v>290</v>
      </c>
      <c r="C12" t="s">
        <v>178</v>
      </c>
      <c r="D12" t="s">
        <v>316</v>
      </c>
      <c r="E12" t="s">
        <v>305</v>
      </c>
      <c r="F12" t="s">
        <v>220</v>
      </c>
      <c r="G12" t="s">
        <v>288</v>
      </c>
      <c r="H12" t="s">
        <v>317</v>
      </c>
    </row>
    <row r="13" spans="1:8" x14ac:dyDescent="0.25">
      <c r="A13" t="s">
        <v>207</v>
      </c>
      <c r="B13" t="s">
        <v>298</v>
      </c>
      <c r="C13" t="s">
        <v>297</v>
      </c>
      <c r="D13" t="s">
        <v>318</v>
      </c>
      <c r="E13" t="s">
        <v>305</v>
      </c>
      <c r="F13" t="s">
        <v>319</v>
      </c>
      <c r="G13" t="s">
        <v>288</v>
      </c>
      <c r="H13" t="s">
        <v>320</v>
      </c>
    </row>
    <row r="14" spans="1:8" x14ac:dyDescent="0.25">
      <c r="A14" t="s">
        <v>209</v>
      </c>
      <c r="B14" t="s">
        <v>326</v>
      </c>
      <c r="C14" t="s">
        <v>178</v>
      </c>
      <c r="D14" t="s">
        <v>381</v>
      </c>
      <c r="E14" t="s">
        <v>305</v>
      </c>
      <c r="F14" t="s">
        <v>220</v>
      </c>
      <c r="G14" t="s">
        <v>323</v>
      </c>
      <c r="H14" t="s">
        <v>382</v>
      </c>
    </row>
    <row r="15" spans="1:8" x14ac:dyDescent="0.25">
      <c r="A15" t="s">
        <v>222</v>
      </c>
      <c r="B15" t="s">
        <v>341</v>
      </c>
      <c r="C15" t="s">
        <v>25</v>
      </c>
      <c r="D15" t="s">
        <v>210</v>
      </c>
      <c r="E15" t="s">
        <v>305</v>
      </c>
      <c r="F15" t="s">
        <v>215</v>
      </c>
      <c r="G15" t="s">
        <v>339</v>
      </c>
      <c r="H15" t="s">
        <v>383</v>
      </c>
    </row>
    <row r="16" spans="1:8" x14ac:dyDescent="0.25">
      <c r="A16" t="s">
        <v>232</v>
      </c>
      <c r="B16" t="s">
        <v>357</v>
      </c>
      <c r="C16" t="s">
        <v>325</v>
      </c>
      <c r="D16" t="s">
        <v>384</v>
      </c>
      <c r="E16" t="s">
        <v>385</v>
      </c>
      <c r="F16" t="s">
        <v>359</v>
      </c>
      <c r="G16" t="s">
        <v>355</v>
      </c>
      <c r="H16" t="s">
        <v>386</v>
      </c>
    </row>
    <row r="17" spans="1:8" x14ac:dyDescent="0.25">
      <c r="A17" t="s">
        <v>240</v>
      </c>
      <c r="B17" t="s">
        <v>368</v>
      </c>
      <c r="C17" t="s">
        <v>325</v>
      </c>
      <c r="D17" t="s">
        <v>246</v>
      </c>
      <c r="E17" t="s">
        <v>305</v>
      </c>
      <c r="F17" t="s">
        <v>359</v>
      </c>
      <c r="G17" t="s">
        <v>355</v>
      </c>
      <c r="H17" t="s">
        <v>387</v>
      </c>
    </row>
    <row r="18" spans="1:8" x14ac:dyDescent="0.25">
      <c r="A18" t="s">
        <v>252</v>
      </c>
      <c r="B18" t="s">
        <v>388</v>
      </c>
      <c r="C18" t="s">
        <v>157</v>
      </c>
      <c r="D18" t="s">
        <v>389</v>
      </c>
      <c r="E18" t="s">
        <v>305</v>
      </c>
      <c r="F18" t="s">
        <v>220</v>
      </c>
      <c r="G18" t="s">
        <v>374</v>
      </c>
      <c r="H18" t="s">
        <v>390</v>
      </c>
    </row>
    <row r="19" spans="1:8" x14ac:dyDescent="0.25">
      <c r="A19" t="s">
        <v>259</v>
      </c>
      <c r="B19" t="s">
        <v>253</v>
      </c>
      <c r="C19" t="s">
        <v>244</v>
      </c>
      <c r="D19" t="s">
        <v>310</v>
      </c>
      <c r="E19" t="s">
        <v>311</v>
      </c>
      <c r="F19" t="s">
        <v>306</v>
      </c>
      <c r="G19" t="s">
        <v>241</v>
      </c>
      <c r="H19" t="s">
        <v>312</v>
      </c>
    </row>
    <row r="20" spans="1:8" x14ac:dyDescent="0.25">
      <c r="A20" t="s">
        <v>261</v>
      </c>
      <c r="B20" t="s">
        <v>391</v>
      </c>
      <c r="C20" t="s">
        <v>244</v>
      </c>
      <c r="D20" t="s">
        <v>392</v>
      </c>
      <c r="E20" t="s">
        <v>393</v>
      </c>
      <c r="F20" t="s">
        <v>394</v>
      </c>
      <c r="G20" t="s">
        <v>241</v>
      </c>
      <c r="H20" t="s">
        <v>395</v>
      </c>
    </row>
    <row r="21" spans="1:8" x14ac:dyDescent="0.25">
      <c r="A21" t="s">
        <v>287</v>
      </c>
      <c r="B21" t="s">
        <v>396</v>
      </c>
      <c r="C21" t="s">
        <v>397</v>
      </c>
      <c r="D21" t="s">
        <v>398</v>
      </c>
      <c r="E21" t="s">
        <v>138</v>
      </c>
      <c r="F21" t="s">
        <v>399</v>
      </c>
      <c r="G21" t="s">
        <v>241</v>
      </c>
      <c r="H21" t="s">
        <v>400</v>
      </c>
    </row>
    <row r="22" spans="1:8" x14ac:dyDescent="0.25">
      <c r="A22" t="s">
        <v>296</v>
      </c>
      <c r="B22" t="s">
        <v>401</v>
      </c>
      <c r="C22" t="s">
        <v>244</v>
      </c>
      <c r="D22" t="s">
        <v>402</v>
      </c>
      <c r="E22" t="s">
        <v>305</v>
      </c>
      <c r="F22" t="s">
        <v>309</v>
      </c>
      <c r="G22" t="s">
        <v>241</v>
      </c>
      <c r="H22" t="s">
        <v>403</v>
      </c>
    </row>
    <row r="23" spans="1:8" x14ac:dyDescent="0.25">
      <c r="A23" t="s">
        <v>322</v>
      </c>
      <c r="B23" t="s">
        <v>404</v>
      </c>
      <c r="C23" t="s">
        <v>244</v>
      </c>
      <c r="D23" t="s">
        <v>405</v>
      </c>
      <c r="E23" t="s">
        <v>406</v>
      </c>
      <c r="F23" t="s">
        <v>407</v>
      </c>
      <c r="G23" t="s">
        <v>241</v>
      </c>
      <c r="H23" t="s">
        <v>408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Governance_Interactions</vt:lpstr>
      <vt:lpstr>Measure_Register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TD Satish</cp:lastModifiedBy>
  <dcterms:created xsi:type="dcterms:W3CDTF">2026-06-19T04:09:38Z</dcterms:created>
  <dcterms:modified xsi:type="dcterms:W3CDTF">2026-06-19T16:43:05Z</dcterms:modified>
</cp:coreProperties>
</file>